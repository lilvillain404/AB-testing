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Analysis\GitHub\AB тестирование\"/>
    </mc:Choice>
  </mc:AlternateContent>
  <xr:revisionPtr revIDLastSave="0" documentId="13_ncr:1_{23021F31-4C3C-45F6-824D-7B8B21E25AD5}" xr6:coauthVersionLast="47" xr6:coauthVersionMax="47" xr10:uidLastSave="{00000000-0000-0000-0000-000000000000}"/>
  <bookViews>
    <workbookView xWindow="-120" yWindow="-120" windowWidth="29040" windowHeight="16440" xr2:uid="{7F86A299-665A-42FC-8A5F-2833FAD6CC9C}"/>
  </bookViews>
  <sheets>
    <sheet name="Размер выборки" sheetId="2" r:id="rId1"/>
    <sheet name="Расчет" sheetId="1" r:id="rId2"/>
  </sheets>
  <definedNames>
    <definedName name="_xlnm._FilterDatabase" localSheetId="1" hidden="1">Расчет!$V$2:$Y$206</definedName>
    <definedName name="_xlnm.Extract" localSheetId="1">Расчет!#REF!</definedName>
    <definedName name="_xlnm.Criteria" localSheetId="1">Расчет!$AA$1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1" l="1"/>
  <c r="L18" i="1"/>
  <c r="L24" i="1"/>
  <c r="AD2" i="1"/>
  <c r="AC2" i="1"/>
  <c r="AB2" i="1"/>
  <c r="AA2" i="1"/>
  <c r="L23" i="1"/>
  <c r="L20" i="1"/>
  <c r="L19" i="1"/>
  <c r="B13" i="2"/>
  <c r="M4" i="1"/>
  <c r="M3" i="1" s="1"/>
  <c r="M5" i="1" s="1"/>
  <c r="L4" i="1"/>
  <c r="L3" i="1" s="1"/>
  <c r="L5" i="1" s="1"/>
  <c r="G1" i="1"/>
  <c r="H1" i="1"/>
  <c r="I1" i="1"/>
  <c r="F1" i="1"/>
  <c r="R4" i="1" l="1"/>
  <c r="R5" i="1" s="1"/>
  <c r="L6" i="1"/>
  <c r="L7" i="1" s="1"/>
  <c r="R3" i="1"/>
  <c r="R8" i="1" l="1"/>
  <c r="Q8" i="1"/>
</calcChain>
</file>

<file path=xl/sharedStrings.xml><?xml version="1.0" encoding="utf-8"?>
<sst xmlns="http://schemas.openxmlformats.org/spreadsheetml/2006/main" count="1406" uniqueCount="40">
  <si>
    <t>user_id</t>
  </si>
  <si>
    <t>группа</t>
  </si>
  <si>
    <t>продлено</t>
  </si>
  <si>
    <t>дней_подписки</t>
  </si>
  <si>
    <t>A</t>
  </si>
  <si>
    <t>B</t>
  </si>
  <si>
    <t>Control</t>
  </si>
  <si>
    <t>Test</t>
  </si>
  <si>
    <t>Z-статистика</t>
  </si>
  <si>
    <t>P-value</t>
  </si>
  <si>
    <t>Конверсия, p</t>
  </si>
  <si>
    <t>Кол-во наблюдений, n</t>
  </si>
  <si>
    <t>Дисперсия, δ</t>
  </si>
  <si>
    <t>Граница</t>
  </si>
  <si>
    <t>-</t>
  </si>
  <si>
    <t>+</t>
  </si>
  <si>
    <t>Разница конверсий</t>
  </si>
  <si>
    <t>Стандартная ошибка</t>
  </si>
  <si>
    <t>Доверительный интервал</t>
  </si>
  <si>
    <t>+3,7%</t>
  </si>
  <si>
    <t>+15,5%</t>
  </si>
  <si>
    <t>1. Доверительный интервал для разницы конверсий</t>
  </si>
  <si>
    <t>Ситуация:</t>
  </si>
  <si>
    <t>Входные данные:</t>
  </si>
  <si>
    <t>Продуктовая команда заметила, что часть пользователей не продлевает подписку после первого списания. Сейчас всем отправляется стандартное техническое уведомление о продлении. Разработка персонализированного письма требует  —  команде нужно  понять, стоит ли это  делать.</t>
  </si>
  <si>
    <t>Базовая конверсия</t>
  </si>
  <si>
    <t>MDE</t>
  </si>
  <si>
    <t>α</t>
  </si>
  <si>
    <t>Мощность</t>
  </si>
  <si>
    <t>Размер выборки</t>
  </si>
  <si>
    <t>p1</t>
  </si>
  <si>
    <t>p2</t>
  </si>
  <si>
    <t>Необходимое количество человек для проведения эксперимента</t>
  </si>
  <si>
    <t>t - тест (дни подписки)</t>
  </si>
  <si>
    <t>среднее А</t>
  </si>
  <si>
    <t>среднее В</t>
  </si>
  <si>
    <t>Среди всех пользователей</t>
  </si>
  <si>
    <t>Среди тех, кто не продлил</t>
  </si>
  <si>
    <t>Не стало ли письмо слишком навязчивым? Удовлетворенность осталась на том же уровне?</t>
  </si>
  <si>
    <t>Сильная значимость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</si>
</sst>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51DE-638C-45EF-A1D5-8543B2836BB9}">
  <dimension ref="A1:M13"/>
  <sheetViews>
    <sheetView tabSelected="1" workbookViewId="0">
      <selection activeCell="F15" sqref="F15"/>
    </sheetView>
  </sheetViews>
  <sheetFormatPr defaultRowHeight="15" x14ac:dyDescent="0.25"/>
  <cols>
    <col min="1" max="1" width="18.85546875" bestFit="1" customWidth="1"/>
  </cols>
  <sheetData>
    <row r="1" spans="1:13" ht="15" customHeight="1" x14ac:dyDescent="0.25">
      <c r="A1" s="14" t="s">
        <v>22</v>
      </c>
      <c r="B1" s="13" t="s">
        <v>24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25">
      <c r="A4" t="s">
        <v>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t="s">
        <v>25</v>
      </c>
      <c r="B5" s="11">
        <v>0.55000000000000004</v>
      </c>
      <c r="C5" s="10"/>
      <c r="F5" s="10"/>
      <c r="I5" s="10"/>
      <c r="J5" s="10"/>
      <c r="K5" s="10"/>
      <c r="L5" s="10"/>
      <c r="M5" s="10"/>
    </row>
    <row r="6" spans="1:13" x14ac:dyDescent="0.25">
      <c r="A6" t="s">
        <v>26</v>
      </c>
      <c r="B6" s="11">
        <v>0.08</v>
      </c>
      <c r="C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t="s">
        <v>27</v>
      </c>
      <c r="B7">
        <v>0.05</v>
      </c>
    </row>
    <row r="8" spans="1:13" x14ac:dyDescent="0.25">
      <c r="A8" t="s">
        <v>28</v>
      </c>
      <c r="B8">
        <v>0.8</v>
      </c>
    </row>
    <row r="10" spans="1:13" x14ac:dyDescent="0.25">
      <c r="A10" s="10" t="s">
        <v>30</v>
      </c>
      <c r="B10" s="10">
        <v>0.55000000000000004</v>
      </c>
    </row>
    <row r="11" spans="1:13" x14ac:dyDescent="0.25">
      <c r="A11" s="10" t="s">
        <v>31</v>
      </c>
      <c r="B11" s="10">
        <v>0.63</v>
      </c>
    </row>
    <row r="13" spans="1:13" x14ac:dyDescent="0.25">
      <c r="A13" t="s">
        <v>29</v>
      </c>
      <c r="B13" s="12">
        <f>(_xlfn.NORM.S.INV(1-(B7/2))+(_xlfn.NORM.S.INV(B8)))^2*(B10*(1-B10)+(B11*(1-B11)))/(B10-B11)^2</f>
        <v>589.40181255127754</v>
      </c>
      <c r="C13" s="15" t="s">
        <v>32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</row>
  </sheetData>
  <mergeCells count="3">
    <mergeCell ref="B1:M3"/>
    <mergeCell ref="A1:A3"/>
    <mergeCell ref="C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F63-C093-4894-849F-FAB2D2E5DEA0}">
  <dimension ref="A1:AD501"/>
  <sheetViews>
    <sheetView topLeftCell="E1" zoomScale="85" zoomScaleNormal="85" workbookViewId="0">
      <selection activeCell="M25" sqref="M25"/>
    </sheetView>
  </sheetViews>
  <sheetFormatPr defaultRowHeight="15" x14ac:dyDescent="0.25"/>
  <cols>
    <col min="2" max="2" width="7.140625" bestFit="1" customWidth="1"/>
    <col min="3" max="3" width="9.85546875" bestFit="1" customWidth="1"/>
    <col min="4" max="4" width="15.28515625" bestFit="1" customWidth="1"/>
    <col min="6" max="6" width="10.7109375" bestFit="1" customWidth="1"/>
    <col min="7" max="7" width="7.140625" bestFit="1" customWidth="1"/>
    <col min="8" max="8" width="9.85546875" bestFit="1" customWidth="1"/>
    <col min="9" max="9" width="15.28515625" bestFit="1" customWidth="1"/>
    <col min="10" max="10" width="15.28515625" customWidth="1"/>
    <col min="11" max="11" width="21.7109375" bestFit="1" customWidth="1"/>
    <col min="12" max="12" width="12.28515625" bestFit="1" customWidth="1"/>
    <col min="15" max="15" width="24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tr">
        <f>A1</f>
        <v>user_id</v>
      </c>
      <c r="G1" s="1" t="str">
        <f t="shared" ref="G1:I1" si="0">B1</f>
        <v>группа</v>
      </c>
      <c r="H1" s="1" t="str">
        <f t="shared" si="0"/>
        <v>продлено</v>
      </c>
      <c r="I1" s="1" t="str">
        <f t="shared" si="0"/>
        <v>дней_подписки</v>
      </c>
      <c r="J1" s="4"/>
    </row>
    <row r="2" spans="1:30" x14ac:dyDescent="0.25">
      <c r="A2" s="1">
        <v>1001</v>
      </c>
      <c r="B2" s="1" t="s">
        <v>4</v>
      </c>
      <c r="C2" s="1">
        <v>0</v>
      </c>
      <c r="D2" s="1">
        <v>45</v>
      </c>
      <c r="F2" s="1">
        <v>1003</v>
      </c>
      <c r="G2" s="1" t="s">
        <v>5</v>
      </c>
      <c r="H2" s="1">
        <v>1</v>
      </c>
      <c r="I2" s="1">
        <v>180</v>
      </c>
      <c r="J2" s="4"/>
      <c r="K2" s="1"/>
      <c r="L2" s="1" t="s">
        <v>6</v>
      </c>
      <c r="M2" s="1" t="s">
        <v>7</v>
      </c>
      <c r="O2" s="18" t="s">
        <v>21</v>
      </c>
      <c r="P2" s="18"/>
      <c r="Q2" s="18"/>
      <c r="R2" s="18"/>
      <c r="V2" s="8" t="s">
        <v>0</v>
      </c>
      <c r="W2" s="8" t="s">
        <v>1</v>
      </c>
      <c r="X2" s="8" t="s">
        <v>2</v>
      </c>
      <c r="Y2" s="8" t="s">
        <v>3</v>
      </c>
      <c r="AA2" s="8" t="str">
        <f>V2</f>
        <v>user_id</v>
      </c>
      <c r="AB2" s="8" t="str">
        <f t="shared" ref="AB2" si="1">W2</f>
        <v>группа</v>
      </c>
      <c r="AC2" s="8" t="str">
        <f t="shared" ref="AC2" si="2">X2</f>
        <v>продлено</v>
      </c>
      <c r="AD2" s="8" t="str">
        <f t="shared" ref="AD2" si="3">Y2</f>
        <v>дней_подписки</v>
      </c>
    </row>
    <row r="3" spans="1:30" x14ac:dyDescent="0.25">
      <c r="A3" s="1">
        <v>1002</v>
      </c>
      <c r="B3" s="1" t="s">
        <v>4</v>
      </c>
      <c r="C3" s="1">
        <v>1</v>
      </c>
      <c r="D3" s="1">
        <v>320</v>
      </c>
      <c r="F3" s="1">
        <v>1004</v>
      </c>
      <c r="G3" s="1" t="s">
        <v>5</v>
      </c>
      <c r="H3" s="1">
        <v>0</v>
      </c>
      <c r="I3" s="1">
        <v>450</v>
      </c>
      <c r="J3" s="4"/>
      <c r="K3" s="1" t="s">
        <v>10</v>
      </c>
      <c r="L3" s="1">
        <f>(SUM(C2:C501)/L4)*100</f>
        <v>59.199999999999996</v>
      </c>
      <c r="M3" s="1">
        <f>(SUM(H2:H501)/M4)*100</f>
        <v>68.8</v>
      </c>
      <c r="O3" s="19" t="s">
        <v>16</v>
      </c>
      <c r="P3" s="19"/>
      <c r="Q3" s="19"/>
      <c r="R3" s="7">
        <f>(M3/100)-(L3/100)</f>
        <v>9.5999999999999974E-2</v>
      </c>
      <c r="V3" s="8">
        <v>1001</v>
      </c>
      <c r="W3" s="8" t="s">
        <v>4</v>
      </c>
      <c r="X3" s="8">
        <v>0</v>
      </c>
      <c r="Y3" s="8">
        <v>45</v>
      </c>
      <c r="AA3" s="8">
        <v>1004</v>
      </c>
      <c r="AB3" s="8" t="s">
        <v>5</v>
      </c>
      <c r="AC3" s="8">
        <v>0</v>
      </c>
      <c r="AD3" s="8">
        <v>450</v>
      </c>
    </row>
    <row r="4" spans="1:30" x14ac:dyDescent="0.25">
      <c r="A4" s="1">
        <v>1005</v>
      </c>
      <c r="B4" s="1" t="s">
        <v>4</v>
      </c>
      <c r="C4" s="1">
        <v>0</v>
      </c>
      <c r="D4" s="1">
        <v>60</v>
      </c>
      <c r="F4" s="1">
        <v>1006</v>
      </c>
      <c r="G4" s="1" t="s">
        <v>5</v>
      </c>
      <c r="H4" s="1">
        <v>0</v>
      </c>
      <c r="I4" s="1">
        <v>30</v>
      </c>
      <c r="J4" s="4"/>
      <c r="K4" s="1" t="s">
        <v>11</v>
      </c>
      <c r="L4" s="1">
        <f>COUNT(A2:A501)</f>
        <v>500</v>
      </c>
      <c r="M4" s="1">
        <f>COUNT(F2:F501)</f>
        <v>500</v>
      </c>
      <c r="O4" s="19" t="s">
        <v>17</v>
      </c>
      <c r="P4" s="19"/>
      <c r="Q4" s="19"/>
      <c r="R4" s="7">
        <f>SQRT((L5/L4)+(M5/M4))</f>
        <v>3.0205694827300365E-2</v>
      </c>
      <c r="V4" s="8">
        <v>1005</v>
      </c>
      <c r="W4" s="8" t="s">
        <v>4</v>
      </c>
      <c r="X4" s="8">
        <v>0</v>
      </c>
      <c r="Y4" s="8">
        <v>60</v>
      </c>
      <c r="AA4" s="8">
        <v>1006</v>
      </c>
      <c r="AB4" s="8" t="s">
        <v>5</v>
      </c>
      <c r="AC4" s="8">
        <v>0</v>
      </c>
      <c r="AD4" s="8">
        <v>30</v>
      </c>
    </row>
    <row r="5" spans="1:30" x14ac:dyDescent="0.25">
      <c r="A5" s="1">
        <v>1007</v>
      </c>
      <c r="B5" s="1" t="s">
        <v>4</v>
      </c>
      <c r="C5" s="1">
        <v>1</v>
      </c>
      <c r="D5" s="1">
        <v>700</v>
      </c>
      <c r="F5" s="1">
        <v>1008</v>
      </c>
      <c r="G5" s="1" t="s">
        <v>5</v>
      </c>
      <c r="H5" s="1">
        <v>1</v>
      </c>
      <c r="I5" s="1">
        <v>120</v>
      </c>
      <c r="J5" s="4"/>
      <c r="K5" s="1" t="s">
        <v>12</v>
      </c>
      <c r="L5" s="2">
        <f>(L3/100)*(1-(L3/100))</f>
        <v>0.241536</v>
      </c>
      <c r="M5" s="2">
        <f>(M3/100)*(1-(M3/100))</f>
        <v>0.21465600000000001</v>
      </c>
      <c r="O5" s="19" t="s">
        <v>13</v>
      </c>
      <c r="P5" s="19"/>
      <c r="Q5" s="19"/>
      <c r="R5" s="7">
        <f>_xlfn.NORM.S.INV(0.975)*R4</f>
        <v>5.9202073989516511E-2</v>
      </c>
      <c r="V5" s="8">
        <v>1010</v>
      </c>
      <c r="W5" s="8" t="s">
        <v>4</v>
      </c>
      <c r="X5" s="8">
        <v>0</v>
      </c>
      <c r="Y5" s="8">
        <v>150</v>
      </c>
      <c r="AA5" s="8">
        <v>1009</v>
      </c>
      <c r="AB5" s="8" t="s">
        <v>5</v>
      </c>
      <c r="AC5" s="8">
        <v>0</v>
      </c>
      <c r="AD5" s="8">
        <v>90</v>
      </c>
    </row>
    <row r="6" spans="1:30" x14ac:dyDescent="0.25">
      <c r="A6" s="1">
        <v>1010</v>
      </c>
      <c r="B6" s="1" t="s">
        <v>4</v>
      </c>
      <c r="C6" s="1">
        <v>0</v>
      </c>
      <c r="D6" s="1">
        <v>150</v>
      </c>
      <c r="F6" s="1">
        <v>1009</v>
      </c>
      <c r="G6" s="1" t="s">
        <v>5</v>
      </c>
      <c r="H6" s="1">
        <v>0</v>
      </c>
      <c r="I6" s="1">
        <v>90</v>
      </c>
      <c r="J6" s="4"/>
      <c r="K6" s="1" t="s">
        <v>8</v>
      </c>
      <c r="L6" s="16">
        <f>(((M3/100)-(L3/100))/SQRT((L5/L4)+(M5/M4)))</f>
        <v>3.1782086308186401</v>
      </c>
      <c r="M6" s="16"/>
      <c r="O6" s="21"/>
      <c r="P6" s="21"/>
      <c r="Q6" s="21"/>
      <c r="R6" s="21"/>
      <c r="S6" s="3"/>
      <c r="T6" s="3"/>
      <c r="U6" s="3"/>
      <c r="V6" s="8">
        <v>1014</v>
      </c>
      <c r="W6" s="8" t="s">
        <v>4</v>
      </c>
      <c r="X6" s="8">
        <v>0</v>
      </c>
      <c r="Y6" s="8">
        <v>85</v>
      </c>
      <c r="AA6" s="8">
        <v>1013</v>
      </c>
      <c r="AB6" s="8" t="s">
        <v>5</v>
      </c>
      <c r="AC6" s="8">
        <v>0</v>
      </c>
      <c r="AD6" s="8">
        <v>400</v>
      </c>
    </row>
    <row r="7" spans="1:30" x14ac:dyDescent="0.25">
      <c r="A7" s="1">
        <v>1011</v>
      </c>
      <c r="B7" s="1" t="s">
        <v>4</v>
      </c>
      <c r="C7" s="1">
        <v>1</v>
      </c>
      <c r="D7" s="1">
        <v>560</v>
      </c>
      <c r="F7" s="1">
        <v>1012</v>
      </c>
      <c r="G7" s="1" t="s">
        <v>5</v>
      </c>
      <c r="H7" s="1">
        <v>1</v>
      </c>
      <c r="I7" s="1">
        <v>290</v>
      </c>
      <c r="J7" s="4"/>
      <c r="K7" s="1" t="s">
        <v>9</v>
      </c>
      <c r="L7" s="17">
        <f xml:space="preserve"> 2 * (1 - _xlfn.NORM.S.DIST(ABS(L6), TRUE))</f>
        <v>1.4818807747203344E-3</v>
      </c>
      <c r="M7" s="17"/>
      <c r="N7" s="6"/>
      <c r="O7" s="20" t="s">
        <v>18</v>
      </c>
      <c r="P7" s="20"/>
      <c r="Q7" s="1" t="s">
        <v>14</v>
      </c>
      <c r="R7" s="1" t="s">
        <v>15</v>
      </c>
      <c r="S7" s="4"/>
      <c r="T7" s="5"/>
      <c r="U7" s="5"/>
      <c r="V7" s="8">
        <v>1017</v>
      </c>
      <c r="W7" s="8" t="s">
        <v>4</v>
      </c>
      <c r="X7" s="8">
        <v>0</v>
      </c>
      <c r="Y7" s="8">
        <v>75</v>
      </c>
      <c r="AA7" s="8">
        <v>1019</v>
      </c>
      <c r="AB7" s="8" t="s">
        <v>5</v>
      </c>
      <c r="AC7" s="8">
        <v>0</v>
      </c>
      <c r="AD7" s="8">
        <v>110</v>
      </c>
    </row>
    <row r="8" spans="1:30" x14ac:dyDescent="0.25">
      <c r="A8" s="1">
        <v>1014</v>
      </c>
      <c r="B8" s="1" t="s">
        <v>4</v>
      </c>
      <c r="C8" s="1">
        <v>0</v>
      </c>
      <c r="D8" s="1">
        <v>85</v>
      </c>
      <c r="F8" s="1">
        <v>1013</v>
      </c>
      <c r="G8" s="1" t="s">
        <v>5</v>
      </c>
      <c r="H8" s="1">
        <v>0</v>
      </c>
      <c r="I8" s="1">
        <v>400</v>
      </c>
      <c r="J8" s="4"/>
      <c r="O8" s="20"/>
      <c r="P8" s="20"/>
      <c r="Q8" s="2">
        <f>R3-R5</f>
        <v>3.6797926010483463E-2</v>
      </c>
      <c r="R8" s="2">
        <f>R3+R5</f>
        <v>0.15520207398951649</v>
      </c>
      <c r="V8" s="8">
        <v>1022</v>
      </c>
      <c r="W8" s="8" t="s">
        <v>4</v>
      </c>
      <c r="X8" s="8">
        <v>0</v>
      </c>
      <c r="Y8" s="8">
        <v>95</v>
      </c>
      <c r="AA8" s="8">
        <v>1023</v>
      </c>
      <c r="AB8" s="8" t="s">
        <v>5</v>
      </c>
      <c r="AC8" s="8">
        <v>0</v>
      </c>
      <c r="AD8" s="8">
        <v>430</v>
      </c>
    </row>
    <row r="9" spans="1:30" x14ac:dyDescent="0.25">
      <c r="A9" s="1">
        <v>1016</v>
      </c>
      <c r="B9" s="1" t="s">
        <v>4</v>
      </c>
      <c r="C9" s="1">
        <v>1</v>
      </c>
      <c r="D9" s="1">
        <v>210</v>
      </c>
      <c r="F9" s="1">
        <v>1015</v>
      </c>
      <c r="G9" s="1" t="s">
        <v>5</v>
      </c>
      <c r="H9" s="1">
        <v>1</v>
      </c>
      <c r="I9" s="1">
        <v>620</v>
      </c>
      <c r="J9" s="4"/>
      <c r="K9" s="3"/>
      <c r="L9" s="3"/>
      <c r="O9" s="20"/>
      <c r="P9" s="20"/>
      <c r="Q9" s="9" t="s">
        <v>19</v>
      </c>
      <c r="R9" s="9" t="s">
        <v>20</v>
      </c>
      <c r="V9" s="8">
        <v>1024</v>
      </c>
      <c r="W9" s="8" t="s">
        <v>4</v>
      </c>
      <c r="X9" s="8">
        <v>0</v>
      </c>
      <c r="Y9" s="8">
        <v>55</v>
      </c>
      <c r="AA9" s="8">
        <v>1025</v>
      </c>
      <c r="AB9" s="8" t="s">
        <v>5</v>
      </c>
      <c r="AC9" s="8">
        <v>0</v>
      </c>
      <c r="AD9" s="8">
        <v>670</v>
      </c>
    </row>
    <row r="10" spans="1:30" x14ac:dyDescent="0.25">
      <c r="A10" s="1">
        <v>1017</v>
      </c>
      <c r="B10" s="1" t="s">
        <v>4</v>
      </c>
      <c r="C10" s="1">
        <v>0</v>
      </c>
      <c r="D10" s="1">
        <v>75</v>
      </c>
      <c r="F10" s="1">
        <v>1018</v>
      </c>
      <c r="G10" s="1" t="s">
        <v>5</v>
      </c>
      <c r="H10" s="1">
        <v>1</v>
      </c>
      <c r="I10" s="1">
        <v>380</v>
      </c>
      <c r="J10" s="4"/>
      <c r="K10" s="3"/>
      <c r="L10" s="3"/>
      <c r="V10" s="8">
        <v>1030</v>
      </c>
      <c r="W10" s="8" t="s">
        <v>4</v>
      </c>
      <c r="X10" s="8">
        <v>0</v>
      </c>
      <c r="Y10" s="8">
        <v>125</v>
      </c>
      <c r="AA10" s="8">
        <v>1027</v>
      </c>
      <c r="AB10" s="8" t="s">
        <v>5</v>
      </c>
      <c r="AC10" s="8">
        <v>0</v>
      </c>
      <c r="AD10" s="8">
        <v>65</v>
      </c>
    </row>
    <row r="11" spans="1:30" x14ac:dyDescent="0.25">
      <c r="A11" s="1">
        <v>1020</v>
      </c>
      <c r="B11" s="1" t="s">
        <v>4</v>
      </c>
      <c r="C11" s="1">
        <v>1</v>
      </c>
      <c r="D11" s="1">
        <v>500</v>
      </c>
      <c r="F11" s="1">
        <v>1019</v>
      </c>
      <c r="G11" s="1" t="s">
        <v>5</v>
      </c>
      <c r="H11" s="1">
        <v>0</v>
      </c>
      <c r="I11" s="1">
        <v>110</v>
      </c>
      <c r="J11" s="4"/>
      <c r="V11" s="8">
        <v>1033</v>
      </c>
      <c r="W11" s="8" t="s">
        <v>4</v>
      </c>
      <c r="X11" s="8">
        <v>0</v>
      </c>
      <c r="Y11" s="8">
        <v>80</v>
      </c>
      <c r="AA11" s="8">
        <v>1029</v>
      </c>
      <c r="AB11" s="8" t="s">
        <v>5</v>
      </c>
      <c r="AC11" s="8">
        <v>0</v>
      </c>
      <c r="AD11" s="8">
        <v>190</v>
      </c>
    </row>
    <row r="12" spans="1:30" x14ac:dyDescent="0.25">
      <c r="A12" s="1">
        <v>1022</v>
      </c>
      <c r="B12" s="1" t="s">
        <v>4</v>
      </c>
      <c r="C12" s="1">
        <v>0</v>
      </c>
      <c r="D12" s="1">
        <v>95</v>
      </c>
      <c r="F12" s="1">
        <v>1021</v>
      </c>
      <c r="G12" s="1" t="s">
        <v>5</v>
      </c>
      <c r="H12" s="1">
        <v>1</v>
      </c>
      <c r="I12" s="1">
        <v>250</v>
      </c>
      <c r="J12" s="4"/>
      <c r="V12" s="8">
        <v>1037</v>
      </c>
      <c r="W12" s="8" t="s">
        <v>4</v>
      </c>
      <c r="X12" s="8">
        <v>0</v>
      </c>
      <c r="Y12" s="8">
        <v>140</v>
      </c>
      <c r="AA12" s="8">
        <v>1036</v>
      </c>
      <c r="AB12" s="8" t="s">
        <v>5</v>
      </c>
      <c r="AC12" s="8">
        <v>0</v>
      </c>
      <c r="AD12" s="8">
        <v>100</v>
      </c>
    </row>
    <row r="13" spans="1:30" x14ac:dyDescent="0.25">
      <c r="A13" s="1">
        <v>1024</v>
      </c>
      <c r="B13" s="1" t="s">
        <v>4</v>
      </c>
      <c r="C13" s="1">
        <v>0</v>
      </c>
      <c r="D13" s="1">
        <v>55</v>
      </c>
      <c r="F13" s="1">
        <v>1023</v>
      </c>
      <c r="G13" s="1" t="s">
        <v>5</v>
      </c>
      <c r="H13" s="1">
        <v>0</v>
      </c>
      <c r="I13" s="1">
        <v>430</v>
      </c>
      <c r="J13" s="4"/>
      <c r="N13" s="3"/>
      <c r="P13" s="4"/>
      <c r="V13" s="8">
        <v>1042</v>
      </c>
      <c r="W13" s="8" t="s">
        <v>4</v>
      </c>
      <c r="X13" s="8">
        <v>0</v>
      </c>
      <c r="Y13" s="8">
        <v>70</v>
      </c>
      <c r="AA13" s="8">
        <v>1040</v>
      </c>
      <c r="AB13" s="8" t="s">
        <v>5</v>
      </c>
      <c r="AC13" s="8">
        <v>0</v>
      </c>
      <c r="AD13" s="8">
        <v>160</v>
      </c>
    </row>
    <row r="14" spans="1:30" ht="15" customHeight="1" x14ac:dyDescent="0.25">
      <c r="A14" s="1">
        <v>1026</v>
      </c>
      <c r="B14" s="1" t="s">
        <v>4</v>
      </c>
      <c r="C14" s="1">
        <v>1</v>
      </c>
      <c r="D14" s="1">
        <v>340</v>
      </c>
      <c r="F14" s="1">
        <v>1025</v>
      </c>
      <c r="G14" s="1" t="s">
        <v>5</v>
      </c>
      <c r="H14" s="1">
        <v>0</v>
      </c>
      <c r="I14" s="1">
        <v>670</v>
      </c>
      <c r="J14" s="4"/>
      <c r="K14" s="22" t="s">
        <v>38</v>
      </c>
      <c r="L14" s="22"/>
      <c r="M14" s="22"/>
      <c r="N14" s="22"/>
      <c r="O14" s="4"/>
      <c r="P14" s="4"/>
      <c r="V14" s="8">
        <v>1048</v>
      </c>
      <c r="W14" s="8" t="s">
        <v>4</v>
      </c>
      <c r="X14" s="8">
        <v>0</v>
      </c>
      <c r="Y14" s="8">
        <v>105</v>
      </c>
      <c r="AA14" s="8">
        <v>1044</v>
      </c>
      <c r="AB14" s="8" t="s">
        <v>5</v>
      </c>
      <c r="AC14" s="8">
        <v>0</v>
      </c>
      <c r="AD14" s="8">
        <v>115</v>
      </c>
    </row>
    <row r="15" spans="1:30" x14ac:dyDescent="0.25">
      <c r="A15" s="1">
        <v>1028</v>
      </c>
      <c r="B15" s="1" t="s">
        <v>4</v>
      </c>
      <c r="C15" s="1">
        <v>1</v>
      </c>
      <c r="D15" s="1">
        <v>720</v>
      </c>
      <c r="F15" s="1">
        <v>1027</v>
      </c>
      <c r="G15" s="1" t="s">
        <v>5</v>
      </c>
      <c r="H15" s="1">
        <v>0</v>
      </c>
      <c r="I15" s="1">
        <v>65</v>
      </c>
      <c r="J15" s="4"/>
      <c r="K15" s="22"/>
      <c r="L15" s="22"/>
      <c r="M15" s="22"/>
      <c r="N15" s="22"/>
      <c r="O15" s="4"/>
      <c r="P15" s="4"/>
      <c r="V15" s="8">
        <v>1050</v>
      </c>
      <c r="W15" s="8" t="s">
        <v>4</v>
      </c>
      <c r="X15" s="8">
        <v>0</v>
      </c>
      <c r="Y15" s="8">
        <v>135</v>
      </c>
      <c r="AA15" s="8">
        <v>1047</v>
      </c>
      <c r="AB15" s="8" t="s">
        <v>5</v>
      </c>
      <c r="AC15" s="8">
        <v>0</v>
      </c>
      <c r="AD15" s="8">
        <v>200</v>
      </c>
    </row>
    <row r="16" spans="1:30" x14ac:dyDescent="0.25">
      <c r="A16" s="1">
        <v>1030</v>
      </c>
      <c r="B16" s="1" t="s">
        <v>4</v>
      </c>
      <c r="C16" s="1">
        <v>0</v>
      </c>
      <c r="D16" s="1">
        <v>125</v>
      </c>
      <c r="F16" s="1">
        <v>1029</v>
      </c>
      <c r="G16" s="1" t="s">
        <v>5</v>
      </c>
      <c r="H16" s="1">
        <v>0</v>
      </c>
      <c r="I16" s="1">
        <v>190</v>
      </c>
      <c r="J16" s="4"/>
      <c r="K16" s="22"/>
      <c r="L16" s="22"/>
      <c r="M16" s="22"/>
      <c r="N16" s="22"/>
      <c r="P16" s="4"/>
      <c r="V16" s="8">
        <v>1056</v>
      </c>
      <c r="W16" s="8" t="s">
        <v>4</v>
      </c>
      <c r="X16" s="8">
        <v>0</v>
      </c>
      <c r="Y16" s="8">
        <v>155</v>
      </c>
      <c r="AA16" s="8">
        <v>1053</v>
      </c>
      <c r="AB16" s="8" t="s">
        <v>5</v>
      </c>
      <c r="AC16" s="8">
        <v>0</v>
      </c>
      <c r="AD16" s="8">
        <v>85</v>
      </c>
    </row>
    <row r="17" spans="1:30" x14ac:dyDescent="0.25">
      <c r="A17" s="1">
        <v>1031</v>
      </c>
      <c r="B17" s="1" t="s">
        <v>4</v>
      </c>
      <c r="C17" s="1">
        <v>1</v>
      </c>
      <c r="D17" s="1">
        <v>480</v>
      </c>
      <c r="F17" s="1">
        <v>1032</v>
      </c>
      <c r="G17" s="1" t="s">
        <v>5</v>
      </c>
      <c r="H17" s="1">
        <v>1</v>
      </c>
      <c r="I17" s="1">
        <v>270</v>
      </c>
      <c r="J17" s="4"/>
      <c r="K17" s="21" t="s">
        <v>36</v>
      </c>
      <c r="L17" s="21"/>
      <c r="M17" s="21"/>
      <c r="N17" s="21"/>
      <c r="P17" s="4"/>
      <c r="V17" s="8">
        <v>1062</v>
      </c>
      <c r="W17" s="8" t="s">
        <v>4</v>
      </c>
      <c r="X17" s="8">
        <v>0</v>
      </c>
      <c r="Y17" s="8">
        <v>90</v>
      </c>
      <c r="AA17" s="8">
        <v>1055</v>
      </c>
      <c r="AB17" s="8" t="s">
        <v>5</v>
      </c>
      <c r="AC17" s="8">
        <v>0</v>
      </c>
      <c r="AD17" s="8">
        <v>175</v>
      </c>
    </row>
    <row r="18" spans="1:30" x14ac:dyDescent="0.25">
      <c r="A18" s="1">
        <v>1033</v>
      </c>
      <c r="B18" s="1" t="s">
        <v>4</v>
      </c>
      <c r="C18" s="1">
        <v>0</v>
      </c>
      <c r="D18" s="1">
        <v>80</v>
      </c>
      <c r="F18" s="1">
        <v>1034</v>
      </c>
      <c r="G18" s="1" t="s">
        <v>5</v>
      </c>
      <c r="H18" s="1">
        <v>1</v>
      </c>
      <c r="I18" s="1">
        <v>520</v>
      </c>
      <c r="J18" s="4"/>
      <c r="K18" s="23" t="s">
        <v>33</v>
      </c>
      <c r="L18" s="2">
        <f>TTEST(D2:D501,I2:I501,2,3)</f>
        <v>1.6405697708113905E-2</v>
      </c>
      <c r="M18" s="26" t="s">
        <v>39</v>
      </c>
      <c r="N18" s="26"/>
      <c r="P18" s="4"/>
      <c r="V18" s="8">
        <v>1065</v>
      </c>
      <c r="W18" s="8" t="s">
        <v>4</v>
      </c>
      <c r="X18" s="8">
        <v>0</v>
      </c>
      <c r="Y18" s="8">
        <v>110</v>
      </c>
      <c r="AA18" s="8">
        <v>1058</v>
      </c>
      <c r="AB18" s="8" t="s">
        <v>5</v>
      </c>
      <c r="AC18" s="8">
        <v>0</v>
      </c>
      <c r="AD18" s="8">
        <v>310</v>
      </c>
    </row>
    <row r="19" spans="1:30" x14ac:dyDescent="0.25">
      <c r="A19" s="1">
        <v>1035</v>
      </c>
      <c r="B19" s="1" t="s">
        <v>4</v>
      </c>
      <c r="C19" s="1">
        <v>1</v>
      </c>
      <c r="D19" s="1">
        <v>230</v>
      </c>
      <c r="F19" s="1">
        <v>1036</v>
      </c>
      <c r="G19" s="1" t="s">
        <v>5</v>
      </c>
      <c r="H19" s="1">
        <v>0</v>
      </c>
      <c r="I19" s="1">
        <v>100</v>
      </c>
      <c r="J19" s="4"/>
      <c r="K19" s="23" t="s">
        <v>34</v>
      </c>
      <c r="L19" s="24">
        <f>AVERAGE(D2:D501)</f>
        <v>326.67</v>
      </c>
      <c r="M19" s="26"/>
      <c r="N19" s="26"/>
      <c r="P19" s="4"/>
      <c r="V19" s="8">
        <v>1071</v>
      </c>
      <c r="W19" s="8" t="s">
        <v>4</v>
      </c>
      <c r="X19" s="8">
        <v>0</v>
      </c>
      <c r="Y19" s="8">
        <v>145</v>
      </c>
      <c r="AA19" s="8">
        <v>1059</v>
      </c>
      <c r="AB19" s="8" t="s">
        <v>5</v>
      </c>
      <c r="AC19" s="8">
        <v>0</v>
      </c>
      <c r="AD19" s="8">
        <v>120</v>
      </c>
    </row>
    <row r="20" spans="1:30" x14ac:dyDescent="0.25">
      <c r="A20" s="1">
        <v>1037</v>
      </c>
      <c r="B20" s="1" t="s">
        <v>4</v>
      </c>
      <c r="C20" s="1">
        <v>0</v>
      </c>
      <c r="D20" s="1">
        <v>140</v>
      </c>
      <c r="F20" s="1">
        <v>1038</v>
      </c>
      <c r="G20" s="1" t="s">
        <v>5</v>
      </c>
      <c r="H20" s="1">
        <v>1</v>
      </c>
      <c r="I20" s="1">
        <v>590</v>
      </c>
      <c r="J20" s="4"/>
      <c r="K20" s="23" t="s">
        <v>35</v>
      </c>
      <c r="L20" s="24">
        <f>AVERAGE(I2:I501)</f>
        <v>351.26</v>
      </c>
      <c r="M20" s="26"/>
      <c r="N20" s="26"/>
      <c r="P20" s="4"/>
      <c r="V20" s="8">
        <v>1074</v>
      </c>
      <c r="W20" s="8" t="s">
        <v>4</v>
      </c>
      <c r="X20" s="8">
        <v>0</v>
      </c>
      <c r="Y20" s="8">
        <v>95</v>
      </c>
      <c r="AA20" s="8">
        <v>1066</v>
      </c>
      <c r="AB20" s="8" t="s">
        <v>5</v>
      </c>
      <c r="AC20" s="8">
        <v>0</v>
      </c>
      <c r="AD20" s="8">
        <v>490</v>
      </c>
    </row>
    <row r="21" spans="1:30" x14ac:dyDescent="0.25">
      <c r="A21" s="1">
        <v>1039</v>
      </c>
      <c r="B21" s="1" t="s">
        <v>4</v>
      </c>
      <c r="C21" s="1">
        <v>1</v>
      </c>
      <c r="D21" s="1">
        <v>410</v>
      </c>
      <c r="F21" s="1">
        <v>1040</v>
      </c>
      <c r="G21" s="1" t="s">
        <v>5</v>
      </c>
      <c r="H21" s="1">
        <v>0</v>
      </c>
      <c r="I21" s="1">
        <v>160</v>
      </c>
      <c r="J21" s="4"/>
      <c r="K21" s="21" t="s">
        <v>37</v>
      </c>
      <c r="L21" s="21"/>
      <c r="M21" s="21"/>
      <c r="N21" s="21"/>
      <c r="P21" s="4"/>
      <c r="V21" s="8">
        <v>1080</v>
      </c>
      <c r="W21" s="8" t="s">
        <v>4</v>
      </c>
      <c r="X21" s="8">
        <v>0</v>
      </c>
      <c r="Y21" s="8">
        <v>115</v>
      </c>
      <c r="AA21" s="8">
        <v>1068</v>
      </c>
      <c r="AB21" s="8" t="s">
        <v>5</v>
      </c>
      <c r="AC21" s="8">
        <v>0</v>
      </c>
      <c r="AD21" s="8">
        <v>130</v>
      </c>
    </row>
    <row r="22" spans="1:30" x14ac:dyDescent="0.25">
      <c r="A22" s="1">
        <v>1042</v>
      </c>
      <c r="B22" s="1" t="s">
        <v>4</v>
      </c>
      <c r="C22" s="1">
        <v>0</v>
      </c>
      <c r="D22" s="1">
        <v>70</v>
      </c>
      <c r="F22" s="1">
        <v>1041</v>
      </c>
      <c r="G22" s="1" t="s">
        <v>5</v>
      </c>
      <c r="H22" s="1">
        <v>1</v>
      </c>
      <c r="I22" s="1">
        <v>330</v>
      </c>
      <c r="J22" s="4"/>
      <c r="K22" s="23" t="s">
        <v>33</v>
      </c>
      <c r="L22" s="25">
        <f>TTEST(Y3:Y206,AD3:AD158,2,3)</f>
        <v>2.9442759878591188E-8</v>
      </c>
      <c r="M22" s="20" t="s">
        <v>39</v>
      </c>
      <c r="N22" s="20"/>
      <c r="P22" s="4"/>
      <c r="V22" s="8">
        <v>1083</v>
      </c>
      <c r="W22" s="8" t="s">
        <v>4</v>
      </c>
      <c r="X22" s="8">
        <v>0</v>
      </c>
      <c r="Y22" s="8">
        <v>165</v>
      </c>
      <c r="AA22" s="8">
        <v>1069</v>
      </c>
      <c r="AB22" s="8" t="s">
        <v>5</v>
      </c>
      <c r="AC22" s="8">
        <v>0</v>
      </c>
      <c r="AD22" s="8">
        <v>570</v>
      </c>
    </row>
    <row r="23" spans="1:30" x14ac:dyDescent="0.25">
      <c r="A23" s="1">
        <v>1043</v>
      </c>
      <c r="B23" s="1" t="s">
        <v>4</v>
      </c>
      <c r="C23" s="1">
        <v>1</v>
      </c>
      <c r="D23" s="1">
        <v>650</v>
      </c>
      <c r="F23" s="1">
        <v>1044</v>
      </c>
      <c r="G23" s="1" t="s">
        <v>5</v>
      </c>
      <c r="H23" s="1">
        <v>0</v>
      </c>
      <c r="I23" s="1">
        <v>115</v>
      </c>
      <c r="J23" s="4"/>
      <c r="K23" s="23" t="s">
        <v>34</v>
      </c>
      <c r="L23" s="24">
        <f>AVERAGE(Y3:Y206)</f>
        <v>154.68137254901961</v>
      </c>
      <c r="M23" s="20"/>
      <c r="N23" s="20"/>
      <c r="V23" s="8">
        <v>1089</v>
      </c>
      <c r="W23" s="8" t="s">
        <v>4</v>
      </c>
      <c r="X23" s="8">
        <v>0</v>
      </c>
      <c r="Y23" s="8">
        <v>100</v>
      </c>
      <c r="AA23" s="8">
        <v>1073</v>
      </c>
      <c r="AB23" s="8" t="s">
        <v>5</v>
      </c>
      <c r="AC23" s="8">
        <v>0</v>
      </c>
      <c r="AD23" s="8">
        <v>180</v>
      </c>
    </row>
    <row r="24" spans="1:30" x14ac:dyDescent="0.25">
      <c r="A24" s="1">
        <v>1046</v>
      </c>
      <c r="B24" s="1" t="s">
        <v>4</v>
      </c>
      <c r="C24" s="1">
        <v>1</v>
      </c>
      <c r="D24" s="1">
        <v>280</v>
      </c>
      <c r="F24" s="1">
        <v>1045</v>
      </c>
      <c r="G24" s="1" t="s">
        <v>5</v>
      </c>
      <c r="H24" s="1">
        <v>1</v>
      </c>
      <c r="I24" s="1">
        <v>470</v>
      </c>
      <c r="J24" s="4"/>
      <c r="K24" s="23" t="s">
        <v>35</v>
      </c>
      <c r="L24" s="24">
        <f>AVERAGE(AD3:AD158)</f>
        <v>220.99358974358975</v>
      </c>
      <c r="M24" s="20"/>
      <c r="N24" s="20"/>
      <c r="V24" s="8">
        <v>1093</v>
      </c>
      <c r="W24" s="8" t="s">
        <v>4</v>
      </c>
      <c r="X24" s="8">
        <v>0</v>
      </c>
      <c r="Y24" s="8">
        <v>130</v>
      </c>
      <c r="AA24" s="8">
        <v>1077</v>
      </c>
      <c r="AB24" s="8" t="s">
        <v>5</v>
      </c>
      <c r="AC24" s="8">
        <v>0</v>
      </c>
      <c r="AD24" s="8">
        <v>140</v>
      </c>
    </row>
    <row r="25" spans="1:30" x14ac:dyDescent="0.25">
      <c r="A25" s="1">
        <v>1048</v>
      </c>
      <c r="B25" s="1" t="s">
        <v>4</v>
      </c>
      <c r="C25" s="1">
        <v>0</v>
      </c>
      <c r="D25" s="1">
        <v>105</v>
      </c>
      <c r="F25" s="1">
        <v>1047</v>
      </c>
      <c r="G25" s="1" t="s">
        <v>5</v>
      </c>
      <c r="H25" s="1">
        <v>0</v>
      </c>
      <c r="I25" s="1">
        <v>200</v>
      </c>
      <c r="J25" s="4"/>
      <c r="V25" s="8">
        <v>1099</v>
      </c>
      <c r="W25" s="8" t="s">
        <v>4</v>
      </c>
      <c r="X25" s="8">
        <v>0</v>
      </c>
      <c r="Y25" s="8">
        <v>155</v>
      </c>
      <c r="AA25" s="8">
        <v>1079</v>
      </c>
      <c r="AB25" s="8" t="s">
        <v>5</v>
      </c>
      <c r="AC25" s="8">
        <v>0</v>
      </c>
      <c r="AD25" s="8">
        <v>290</v>
      </c>
    </row>
    <row r="26" spans="1:30" x14ac:dyDescent="0.25">
      <c r="A26" s="1">
        <v>1050</v>
      </c>
      <c r="B26" s="1" t="s">
        <v>4</v>
      </c>
      <c r="C26" s="1">
        <v>0</v>
      </c>
      <c r="D26" s="1">
        <v>135</v>
      </c>
      <c r="F26" s="1">
        <v>1049</v>
      </c>
      <c r="G26" s="1" t="s">
        <v>5</v>
      </c>
      <c r="H26" s="1">
        <v>1</v>
      </c>
      <c r="I26" s="1">
        <v>540</v>
      </c>
      <c r="J26" s="4"/>
      <c r="V26" s="8">
        <v>1102</v>
      </c>
      <c r="W26" s="8" t="s">
        <v>4</v>
      </c>
      <c r="X26" s="8">
        <v>0</v>
      </c>
      <c r="Y26" s="8">
        <v>175</v>
      </c>
      <c r="AA26" s="8">
        <v>1082</v>
      </c>
      <c r="AB26" s="8" t="s">
        <v>5</v>
      </c>
      <c r="AC26" s="8">
        <v>0</v>
      </c>
      <c r="AD26" s="8">
        <v>230</v>
      </c>
    </row>
    <row r="27" spans="1:30" x14ac:dyDescent="0.25">
      <c r="A27" s="1">
        <v>1051</v>
      </c>
      <c r="B27" s="1" t="s">
        <v>4</v>
      </c>
      <c r="C27" s="1">
        <v>1</v>
      </c>
      <c r="D27" s="1">
        <v>370</v>
      </c>
      <c r="F27" s="1">
        <v>1052</v>
      </c>
      <c r="G27" s="1" t="s">
        <v>5</v>
      </c>
      <c r="H27" s="1">
        <v>1</v>
      </c>
      <c r="I27" s="1">
        <v>260</v>
      </c>
      <c r="J27" s="4"/>
      <c r="V27" s="8">
        <v>1107</v>
      </c>
      <c r="W27" s="8" t="s">
        <v>4</v>
      </c>
      <c r="X27" s="8">
        <v>0</v>
      </c>
      <c r="Y27" s="8">
        <v>185</v>
      </c>
      <c r="AA27" s="8">
        <v>1086</v>
      </c>
      <c r="AB27" s="8" t="s">
        <v>5</v>
      </c>
      <c r="AC27" s="8">
        <v>0</v>
      </c>
      <c r="AD27" s="8">
        <v>125</v>
      </c>
    </row>
    <row r="28" spans="1:30" x14ac:dyDescent="0.25">
      <c r="A28" s="1">
        <v>1054</v>
      </c>
      <c r="B28" s="1" t="s">
        <v>4</v>
      </c>
      <c r="C28" s="1">
        <v>1</v>
      </c>
      <c r="D28" s="1">
        <v>610</v>
      </c>
      <c r="F28" s="1">
        <v>1053</v>
      </c>
      <c r="G28" s="1" t="s">
        <v>5</v>
      </c>
      <c r="H28" s="1">
        <v>0</v>
      </c>
      <c r="I28" s="1">
        <v>85</v>
      </c>
      <c r="J28" s="4"/>
      <c r="V28" s="8">
        <v>1110</v>
      </c>
      <c r="W28" s="8" t="s">
        <v>4</v>
      </c>
      <c r="X28" s="8">
        <v>0</v>
      </c>
      <c r="Y28" s="8">
        <v>135</v>
      </c>
      <c r="AA28" s="8">
        <v>1088</v>
      </c>
      <c r="AB28" s="8" t="s">
        <v>5</v>
      </c>
      <c r="AC28" s="8">
        <v>0</v>
      </c>
      <c r="AD28" s="8">
        <v>195</v>
      </c>
    </row>
    <row r="29" spans="1:30" x14ac:dyDescent="0.25">
      <c r="A29" s="1">
        <v>1056</v>
      </c>
      <c r="B29" s="1" t="s">
        <v>4</v>
      </c>
      <c r="C29" s="1">
        <v>0</v>
      </c>
      <c r="D29" s="1">
        <v>155</v>
      </c>
      <c r="F29" s="1">
        <v>1055</v>
      </c>
      <c r="G29" s="1" t="s">
        <v>5</v>
      </c>
      <c r="H29" s="1">
        <v>0</v>
      </c>
      <c r="I29" s="1">
        <v>175</v>
      </c>
      <c r="J29" s="4"/>
      <c r="V29" s="8">
        <v>1116</v>
      </c>
      <c r="W29" s="8" t="s">
        <v>4</v>
      </c>
      <c r="X29" s="8">
        <v>0</v>
      </c>
      <c r="Y29" s="8">
        <v>115</v>
      </c>
      <c r="AA29" s="8">
        <v>1092</v>
      </c>
      <c r="AB29" s="8" t="s">
        <v>5</v>
      </c>
      <c r="AC29" s="8">
        <v>0</v>
      </c>
      <c r="AD29" s="8">
        <v>240</v>
      </c>
    </row>
    <row r="30" spans="1:30" x14ac:dyDescent="0.25">
      <c r="A30" s="1">
        <v>1057</v>
      </c>
      <c r="B30" s="1" t="s">
        <v>4</v>
      </c>
      <c r="C30" s="1">
        <v>1</v>
      </c>
      <c r="D30" s="1">
        <v>440</v>
      </c>
      <c r="F30" s="1">
        <v>1058</v>
      </c>
      <c r="G30" s="1" t="s">
        <v>5</v>
      </c>
      <c r="H30" s="1">
        <v>0</v>
      </c>
      <c r="I30" s="1">
        <v>310</v>
      </c>
      <c r="J30" s="4"/>
      <c r="V30" s="8">
        <v>1119</v>
      </c>
      <c r="W30" s="8" t="s">
        <v>4</v>
      </c>
      <c r="X30" s="8">
        <v>0</v>
      </c>
      <c r="Y30" s="8">
        <v>200</v>
      </c>
      <c r="AA30" s="8">
        <v>1094</v>
      </c>
      <c r="AB30" s="8" t="s">
        <v>5</v>
      </c>
      <c r="AC30" s="8">
        <v>0</v>
      </c>
      <c r="AD30" s="8">
        <v>480</v>
      </c>
    </row>
    <row r="31" spans="1:30" x14ac:dyDescent="0.25">
      <c r="A31" s="1">
        <v>1060</v>
      </c>
      <c r="B31" s="1" t="s">
        <v>4</v>
      </c>
      <c r="C31" s="1">
        <v>1</v>
      </c>
      <c r="D31" s="1">
        <v>680</v>
      </c>
      <c r="F31" s="1">
        <v>1059</v>
      </c>
      <c r="G31" s="1" t="s">
        <v>5</v>
      </c>
      <c r="H31" s="1">
        <v>0</v>
      </c>
      <c r="I31" s="1">
        <v>120</v>
      </c>
      <c r="J31" s="4"/>
      <c r="V31" s="8">
        <v>1123</v>
      </c>
      <c r="W31" s="8" t="s">
        <v>4</v>
      </c>
      <c r="X31" s="8">
        <v>0</v>
      </c>
      <c r="Y31" s="8">
        <v>140</v>
      </c>
      <c r="AA31" s="8">
        <v>1096</v>
      </c>
      <c r="AB31" s="8" t="s">
        <v>5</v>
      </c>
      <c r="AC31" s="8">
        <v>0</v>
      </c>
      <c r="AD31" s="8">
        <v>145</v>
      </c>
    </row>
    <row r="32" spans="1:30" x14ac:dyDescent="0.25">
      <c r="A32" s="1">
        <v>1062</v>
      </c>
      <c r="B32" s="1" t="s">
        <v>4</v>
      </c>
      <c r="C32" s="1">
        <v>0</v>
      </c>
      <c r="D32" s="1">
        <v>90</v>
      </c>
      <c r="F32" s="1">
        <v>1061</v>
      </c>
      <c r="G32" s="1" t="s">
        <v>5</v>
      </c>
      <c r="H32" s="1">
        <v>1</v>
      </c>
      <c r="I32" s="1">
        <v>225</v>
      </c>
      <c r="J32" s="4"/>
      <c r="V32" s="8">
        <v>1129</v>
      </c>
      <c r="W32" s="8" t="s">
        <v>4</v>
      </c>
      <c r="X32" s="8">
        <v>0</v>
      </c>
      <c r="Y32" s="8">
        <v>190</v>
      </c>
      <c r="AA32" s="8">
        <v>1101</v>
      </c>
      <c r="AB32" s="8" t="s">
        <v>5</v>
      </c>
      <c r="AC32" s="8">
        <v>0</v>
      </c>
      <c r="AD32" s="8">
        <v>370</v>
      </c>
    </row>
    <row r="33" spans="1:30" x14ac:dyDescent="0.25">
      <c r="A33" s="1">
        <v>1063</v>
      </c>
      <c r="B33" s="1" t="s">
        <v>4</v>
      </c>
      <c r="C33" s="1">
        <v>1</v>
      </c>
      <c r="D33" s="1">
        <v>530</v>
      </c>
      <c r="F33" s="1">
        <v>1064</v>
      </c>
      <c r="G33" s="1" t="s">
        <v>5</v>
      </c>
      <c r="H33" s="1">
        <v>1</v>
      </c>
      <c r="I33" s="1">
        <v>350</v>
      </c>
      <c r="J33" s="4"/>
      <c r="V33" s="8">
        <v>1133</v>
      </c>
      <c r="W33" s="8" t="s">
        <v>4</v>
      </c>
      <c r="X33" s="8">
        <v>0</v>
      </c>
      <c r="Y33" s="8">
        <v>155</v>
      </c>
      <c r="AA33" s="8">
        <v>1104</v>
      </c>
      <c r="AB33" s="8" t="s">
        <v>5</v>
      </c>
      <c r="AC33" s="8">
        <v>0</v>
      </c>
      <c r="AD33" s="8">
        <v>265</v>
      </c>
    </row>
    <row r="34" spans="1:30" x14ac:dyDescent="0.25">
      <c r="A34" s="1">
        <v>1065</v>
      </c>
      <c r="B34" s="1" t="s">
        <v>4</v>
      </c>
      <c r="C34" s="1">
        <v>0</v>
      </c>
      <c r="D34" s="1">
        <v>110</v>
      </c>
      <c r="F34" s="1">
        <v>1066</v>
      </c>
      <c r="G34" s="1" t="s">
        <v>5</v>
      </c>
      <c r="H34" s="1">
        <v>0</v>
      </c>
      <c r="I34" s="1">
        <v>490</v>
      </c>
      <c r="J34" s="4"/>
      <c r="V34" s="8">
        <v>1139</v>
      </c>
      <c r="W34" s="8" t="s">
        <v>4</v>
      </c>
      <c r="X34" s="8">
        <v>0</v>
      </c>
      <c r="Y34" s="8">
        <v>180</v>
      </c>
      <c r="AA34" s="8">
        <v>1105</v>
      </c>
      <c r="AB34" s="8" t="s">
        <v>5</v>
      </c>
      <c r="AC34" s="8">
        <v>0</v>
      </c>
      <c r="AD34" s="8">
        <v>150</v>
      </c>
    </row>
    <row r="35" spans="1:30" x14ac:dyDescent="0.25">
      <c r="A35" s="1">
        <v>1067</v>
      </c>
      <c r="B35" s="1" t="s">
        <v>4</v>
      </c>
      <c r="C35" s="1">
        <v>1</v>
      </c>
      <c r="D35" s="1">
        <v>240</v>
      </c>
      <c r="F35" s="1">
        <v>1068</v>
      </c>
      <c r="G35" s="1" t="s">
        <v>5</v>
      </c>
      <c r="H35" s="1">
        <v>0</v>
      </c>
      <c r="I35" s="1">
        <v>130</v>
      </c>
      <c r="J35" s="4"/>
      <c r="V35" s="8">
        <v>1143</v>
      </c>
      <c r="W35" s="8" t="s">
        <v>4</v>
      </c>
      <c r="X35" s="8">
        <v>0</v>
      </c>
      <c r="Y35" s="8">
        <v>120</v>
      </c>
      <c r="AA35" s="8">
        <v>1108</v>
      </c>
      <c r="AB35" s="8" t="s">
        <v>5</v>
      </c>
      <c r="AC35" s="8">
        <v>0</v>
      </c>
      <c r="AD35" s="8">
        <v>440</v>
      </c>
    </row>
    <row r="36" spans="1:30" x14ac:dyDescent="0.25">
      <c r="A36" s="1">
        <v>1070</v>
      </c>
      <c r="B36" s="1" t="s">
        <v>4</v>
      </c>
      <c r="C36" s="1">
        <v>1</v>
      </c>
      <c r="D36" s="1">
        <v>300</v>
      </c>
      <c r="F36" s="1">
        <v>1069</v>
      </c>
      <c r="G36" s="1" t="s">
        <v>5</v>
      </c>
      <c r="H36" s="1">
        <v>0</v>
      </c>
      <c r="I36" s="1">
        <v>570</v>
      </c>
      <c r="J36" s="4"/>
      <c r="V36" s="8">
        <v>1149</v>
      </c>
      <c r="W36" s="8" t="s">
        <v>4</v>
      </c>
      <c r="X36" s="8">
        <v>0</v>
      </c>
      <c r="Y36" s="8">
        <v>170</v>
      </c>
      <c r="AA36" s="8">
        <v>1109</v>
      </c>
      <c r="AB36" s="8" t="s">
        <v>5</v>
      </c>
      <c r="AC36" s="8">
        <v>0</v>
      </c>
      <c r="AD36" s="8">
        <v>205</v>
      </c>
    </row>
    <row r="37" spans="1:30" x14ac:dyDescent="0.25">
      <c r="A37" s="1">
        <v>1071</v>
      </c>
      <c r="B37" s="1" t="s">
        <v>4</v>
      </c>
      <c r="C37" s="1">
        <v>0</v>
      </c>
      <c r="D37" s="1">
        <v>145</v>
      </c>
      <c r="F37" s="1">
        <v>1072</v>
      </c>
      <c r="G37" s="1" t="s">
        <v>5</v>
      </c>
      <c r="H37" s="1">
        <v>1</v>
      </c>
      <c r="I37" s="1">
        <v>420</v>
      </c>
      <c r="J37" s="4"/>
      <c r="V37" s="8">
        <v>1153</v>
      </c>
      <c r="W37" s="8" t="s">
        <v>4</v>
      </c>
      <c r="X37" s="8">
        <v>0</v>
      </c>
      <c r="Y37" s="8">
        <v>130</v>
      </c>
      <c r="AA37" s="8">
        <v>1114</v>
      </c>
      <c r="AB37" s="8" t="s">
        <v>5</v>
      </c>
      <c r="AC37" s="8">
        <v>0</v>
      </c>
      <c r="AD37" s="8">
        <v>165</v>
      </c>
    </row>
    <row r="38" spans="1:30" x14ac:dyDescent="0.25">
      <c r="A38" s="1">
        <v>1074</v>
      </c>
      <c r="B38" s="1" t="s">
        <v>4</v>
      </c>
      <c r="C38" s="1">
        <v>0</v>
      </c>
      <c r="D38" s="1">
        <v>95</v>
      </c>
      <c r="F38" s="1">
        <v>1073</v>
      </c>
      <c r="G38" s="1" t="s">
        <v>5</v>
      </c>
      <c r="H38" s="1">
        <v>0</v>
      </c>
      <c r="I38" s="1">
        <v>180</v>
      </c>
      <c r="J38" s="4"/>
      <c r="V38" s="8">
        <v>1159</v>
      </c>
      <c r="W38" s="8" t="s">
        <v>4</v>
      </c>
      <c r="X38" s="8">
        <v>0</v>
      </c>
      <c r="Y38" s="8">
        <v>195</v>
      </c>
      <c r="AA38" s="8">
        <v>1120</v>
      </c>
      <c r="AB38" s="8" t="s">
        <v>5</v>
      </c>
      <c r="AC38" s="8">
        <v>0</v>
      </c>
      <c r="AD38" s="8">
        <v>460</v>
      </c>
    </row>
    <row r="39" spans="1:30" x14ac:dyDescent="0.25">
      <c r="A39" s="1">
        <v>1075</v>
      </c>
      <c r="B39" s="1" t="s">
        <v>4</v>
      </c>
      <c r="C39" s="1">
        <v>1</v>
      </c>
      <c r="D39" s="1">
        <v>660</v>
      </c>
      <c r="F39" s="1">
        <v>1076</v>
      </c>
      <c r="G39" s="1" t="s">
        <v>5</v>
      </c>
      <c r="H39" s="1">
        <v>1</v>
      </c>
      <c r="I39" s="1">
        <v>205</v>
      </c>
      <c r="J39" s="4"/>
      <c r="V39" s="8">
        <v>1163</v>
      </c>
      <c r="W39" s="8" t="s">
        <v>4</v>
      </c>
      <c r="X39" s="8">
        <v>0</v>
      </c>
      <c r="Y39" s="8">
        <v>110</v>
      </c>
      <c r="AA39" s="8">
        <v>1126</v>
      </c>
      <c r="AB39" s="8" t="s">
        <v>5</v>
      </c>
      <c r="AC39" s="8">
        <v>0</v>
      </c>
      <c r="AD39" s="8">
        <v>125</v>
      </c>
    </row>
    <row r="40" spans="1:30" x14ac:dyDescent="0.25">
      <c r="A40" s="1">
        <v>1078</v>
      </c>
      <c r="B40" s="1" t="s">
        <v>4</v>
      </c>
      <c r="C40" s="1">
        <v>1</v>
      </c>
      <c r="D40" s="1">
        <v>460</v>
      </c>
      <c r="F40" s="1">
        <v>1077</v>
      </c>
      <c r="G40" s="1" t="s">
        <v>5</v>
      </c>
      <c r="H40" s="1">
        <v>0</v>
      </c>
      <c r="I40" s="1">
        <v>140</v>
      </c>
      <c r="J40" s="4"/>
      <c r="V40" s="8">
        <v>1169</v>
      </c>
      <c r="W40" s="8" t="s">
        <v>4</v>
      </c>
      <c r="X40" s="8">
        <v>0</v>
      </c>
      <c r="Y40" s="8">
        <v>185</v>
      </c>
      <c r="AA40" s="8">
        <v>1136</v>
      </c>
      <c r="AB40" s="8" t="s">
        <v>5</v>
      </c>
      <c r="AC40" s="8">
        <v>0</v>
      </c>
      <c r="AD40" s="8">
        <v>135</v>
      </c>
    </row>
    <row r="41" spans="1:30" x14ac:dyDescent="0.25">
      <c r="A41" s="1">
        <v>1080</v>
      </c>
      <c r="B41" s="1" t="s">
        <v>4</v>
      </c>
      <c r="C41" s="1">
        <v>0</v>
      </c>
      <c r="D41" s="1">
        <v>115</v>
      </c>
      <c r="F41" s="1">
        <v>1079</v>
      </c>
      <c r="G41" s="1" t="s">
        <v>5</v>
      </c>
      <c r="H41" s="1">
        <v>0</v>
      </c>
      <c r="I41" s="1">
        <v>290</v>
      </c>
      <c r="J41" s="4"/>
      <c r="V41" s="8">
        <v>1173</v>
      </c>
      <c r="W41" s="8" t="s">
        <v>4</v>
      </c>
      <c r="X41" s="8">
        <v>0</v>
      </c>
      <c r="Y41" s="8">
        <v>150</v>
      </c>
      <c r="AA41" s="8">
        <v>1137</v>
      </c>
      <c r="AB41" s="8" t="s">
        <v>5</v>
      </c>
      <c r="AC41" s="8">
        <v>0</v>
      </c>
      <c r="AD41" s="8">
        <v>550</v>
      </c>
    </row>
    <row r="42" spans="1:30" x14ac:dyDescent="0.25">
      <c r="A42" s="1">
        <v>1081</v>
      </c>
      <c r="B42" s="1" t="s">
        <v>4</v>
      </c>
      <c r="C42" s="1">
        <v>1</v>
      </c>
      <c r="D42" s="1">
        <v>580</v>
      </c>
      <c r="F42" s="1">
        <v>1082</v>
      </c>
      <c r="G42" s="1" t="s">
        <v>5</v>
      </c>
      <c r="H42" s="1">
        <v>0</v>
      </c>
      <c r="I42" s="1">
        <v>230</v>
      </c>
      <c r="J42" s="4"/>
      <c r="V42" s="8">
        <v>1179</v>
      </c>
      <c r="W42" s="8" t="s">
        <v>4</v>
      </c>
      <c r="X42" s="8">
        <v>0</v>
      </c>
      <c r="Y42" s="8">
        <v>200</v>
      </c>
      <c r="AA42" s="8">
        <v>1144</v>
      </c>
      <c r="AB42" s="8" t="s">
        <v>5</v>
      </c>
      <c r="AC42" s="8">
        <v>0</v>
      </c>
      <c r="AD42" s="8">
        <v>390</v>
      </c>
    </row>
    <row r="43" spans="1:30" x14ac:dyDescent="0.25">
      <c r="A43" s="1">
        <v>1083</v>
      </c>
      <c r="B43" s="1" t="s">
        <v>4</v>
      </c>
      <c r="C43" s="1">
        <v>0</v>
      </c>
      <c r="D43" s="1">
        <v>165</v>
      </c>
      <c r="F43" s="1">
        <v>1084</v>
      </c>
      <c r="G43" s="1" t="s">
        <v>5</v>
      </c>
      <c r="H43" s="1">
        <v>1</v>
      </c>
      <c r="I43" s="1">
        <v>510</v>
      </c>
      <c r="J43" s="4"/>
      <c r="V43" s="8">
        <v>1183</v>
      </c>
      <c r="W43" s="8" t="s">
        <v>4</v>
      </c>
      <c r="X43" s="8">
        <v>0</v>
      </c>
      <c r="Y43" s="8">
        <v>125</v>
      </c>
      <c r="AA43" s="8">
        <v>1146</v>
      </c>
      <c r="AB43" s="8" t="s">
        <v>5</v>
      </c>
      <c r="AC43" s="8">
        <v>0</v>
      </c>
      <c r="AD43" s="8">
        <v>145</v>
      </c>
    </row>
    <row r="44" spans="1:30" x14ac:dyDescent="0.25">
      <c r="A44" s="1">
        <v>1085</v>
      </c>
      <c r="B44" s="1" t="s">
        <v>4</v>
      </c>
      <c r="C44" s="1">
        <v>1</v>
      </c>
      <c r="D44" s="1">
        <v>270</v>
      </c>
      <c r="F44" s="1">
        <v>1086</v>
      </c>
      <c r="G44" s="1" t="s">
        <v>5</v>
      </c>
      <c r="H44" s="1">
        <v>0</v>
      </c>
      <c r="I44" s="1">
        <v>125</v>
      </c>
      <c r="J44" s="4"/>
      <c r="V44" s="8">
        <v>1189</v>
      </c>
      <c r="W44" s="8" t="s">
        <v>4</v>
      </c>
      <c r="X44" s="8">
        <v>0</v>
      </c>
      <c r="Y44" s="8">
        <v>175</v>
      </c>
      <c r="AA44" s="8">
        <v>1151</v>
      </c>
      <c r="AB44" s="8" t="s">
        <v>5</v>
      </c>
      <c r="AC44" s="8">
        <v>0</v>
      </c>
      <c r="AD44" s="8">
        <v>230</v>
      </c>
    </row>
    <row r="45" spans="1:30" x14ac:dyDescent="0.25">
      <c r="A45" s="1">
        <v>1087</v>
      </c>
      <c r="B45" s="1" t="s">
        <v>4</v>
      </c>
      <c r="C45" s="1">
        <v>1</v>
      </c>
      <c r="D45" s="1">
        <v>630</v>
      </c>
      <c r="F45" s="1">
        <v>1088</v>
      </c>
      <c r="G45" s="1" t="s">
        <v>5</v>
      </c>
      <c r="H45" s="1">
        <v>0</v>
      </c>
      <c r="I45" s="1">
        <v>195</v>
      </c>
      <c r="J45" s="4"/>
      <c r="V45" s="8">
        <v>1193</v>
      </c>
      <c r="W45" s="8" t="s">
        <v>4</v>
      </c>
      <c r="X45" s="8">
        <v>0</v>
      </c>
      <c r="Y45" s="8">
        <v>145</v>
      </c>
      <c r="AA45" s="8">
        <v>1156</v>
      </c>
      <c r="AB45" s="8" t="s">
        <v>5</v>
      </c>
      <c r="AC45" s="8">
        <v>0</v>
      </c>
      <c r="AD45" s="8">
        <v>160</v>
      </c>
    </row>
    <row r="46" spans="1:30" x14ac:dyDescent="0.25">
      <c r="A46" s="1">
        <v>1089</v>
      </c>
      <c r="B46" s="1" t="s">
        <v>4</v>
      </c>
      <c r="C46" s="1">
        <v>0</v>
      </c>
      <c r="D46" s="1">
        <v>100</v>
      </c>
      <c r="F46" s="1">
        <v>1090</v>
      </c>
      <c r="G46" s="1" t="s">
        <v>5</v>
      </c>
      <c r="H46" s="1">
        <v>1</v>
      </c>
      <c r="I46" s="1">
        <v>550</v>
      </c>
      <c r="J46" s="4"/>
      <c r="V46" s="8">
        <v>1199</v>
      </c>
      <c r="W46" s="8" t="s">
        <v>4</v>
      </c>
      <c r="X46" s="8">
        <v>0</v>
      </c>
      <c r="Y46" s="8">
        <v>190</v>
      </c>
      <c r="AA46" s="8">
        <v>1157</v>
      </c>
      <c r="AB46" s="8" t="s">
        <v>5</v>
      </c>
      <c r="AC46" s="8">
        <v>0</v>
      </c>
      <c r="AD46" s="8">
        <v>510</v>
      </c>
    </row>
    <row r="47" spans="1:30" x14ac:dyDescent="0.25">
      <c r="A47" s="1">
        <v>1091</v>
      </c>
      <c r="B47" s="1" t="s">
        <v>4</v>
      </c>
      <c r="C47" s="1">
        <v>1</v>
      </c>
      <c r="D47" s="1">
        <v>320</v>
      </c>
      <c r="F47" s="1">
        <v>1092</v>
      </c>
      <c r="G47" s="1" t="s">
        <v>5</v>
      </c>
      <c r="H47" s="1">
        <v>0</v>
      </c>
      <c r="I47" s="1">
        <v>240</v>
      </c>
      <c r="J47" s="4"/>
      <c r="V47" s="8">
        <v>1203</v>
      </c>
      <c r="W47" s="8" t="s">
        <v>4</v>
      </c>
      <c r="X47" s="8">
        <v>0</v>
      </c>
      <c r="Y47" s="8">
        <v>135</v>
      </c>
      <c r="AA47" s="8">
        <v>1164</v>
      </c>
      <c r="AB47" s="8" t="s">
        <v>5</v>
      </c>
      <c r="AC47" s="8">
        <v>0</v>
      </c>
      <c r="AD47" s="8">
        <v>360</v>
      </c>
    </row>
    <row r="48" spans="1:30" x14ac:dyDescent="0.25">
      <c r="A48" s="1">
        <v>1093</v>
      </c>
      <c r="B48" s="1" t="s">
        <v>4</v>
      </c>
      <c r="C48" s="1">
        <v>0</v>
      </c>
      <c r="D48" s="1">
        <v>130</v>
      </c>
      <c r="F48" s="1">
        <v>1094</v>
      </c>
      <c r="G48" s="1" t="s">
        <v>5</v>
      </c>
      <c r="H48" s="1">
        <v>0</v>
      </c>
      <c r="I48" s="1">
        <v>480</v>
      </c>
      <c r="J48" s="4"/>
      <c r="V48" s="8">
        <v>1209</v>
      </c>
      <c r="W48" s="8" t="s">
        <v>4</v>
      </c>
      <c r="X48" s="8">
        <v>0</v>
      </c>
      <c r="Y48" s="8">
        <v>165</v>
      </c>
      <c r="AA48" s="8">
        <v>1166</v>
      </c>
      <c r="AB48" s="8" t="s">
        <v>5</v>
      </c>
      <c r="AC48" s="8">
        <v>0</v>
      </c>
      <c r="AD48" s="8">
        <v>140</v>
      </c>
    </row>
    <row r="49" spans="1:30" x14ac:dyDescent="0.25">
      <c r="A49" s="1">
        <v>1095</v>
      </c>
      <c r="B49" s="1" t="s">
        <v>4</v>
      </c>
      <c r="C49" s="1">
        <v>1</v>
      </c>
      <c r="D49" s="1">
        <v>360</v>
      </c>
      <c r="F49" s="1">
        <v>1096</v>
      </c>
      <c r="G49" s="1" t="s">
        <v>5</v>
      </c>
      <c r="H49" s="1">
        <v>0</v>
      </c>
      <c r="I49" s="1">
        <v>145</v>
      </c>
      <c r="J49" s="4"/>
      <c r="V49" s="8">
        <v>1213</v>
      </c>
      <c r="W49" s="8" t="s">
        <v>4</v>
      </c>
      <c r="X49" s="8">
        <v>0</v>
      </c>
      <c r="Y49" s="8">
        <v>115</v>
      </c>
      <c r="AA49" s="8">
        <v>1171</v>
      </c>
      <c r="AB49" s="8" t="s">
        <v>5</v>
      </c>
      <c r="AC49" s="8">
        <v>0</v>
      </c>
      <c r="AD49" s="8">
        <v>245</v>
      </c>
    </row>
    <row r="50" spans="1:30" x14ac:dyDescent="0.25">
      <c r="A50" s="1">
        <v>1098</v>
      </c>
      <c r="B50" s="1" t="s">
        <v>4</v>
      </c>
      <c r="C50" s="1">
        <v>1</v>
      </c>
      <c r="D50" s="1">
        <v>220</v>
      </c>
      <c r="F50" s="1">
        <v>1097</v>
      </c>
      <c r="G50" s="1" t="s">
        <v>5</v>
      </c>
      <c r="H50" s="1">
        <v>1</v>
      </c>
      <c r="I50" s="1">
        <v>590</v>
      </c>
      <c r="J50" s="4"/>
      <c r="V50" s="8">
        <v>1219</v>
      </c>
      <c r="W50" s="8" t="s">
        <v>4</v>
      </c>
      <c r="X50" s="8">
        <v>0</v>
      </c>
      <c r="Y50" s="8">
        <v>180</v>
      </c>
      <c r="AA50" s="8">
        <v>1176</v>
      </c>
      <c r="AB50" s="8" t="s">
        <v>5</v>
      </c>
      <c r="AC50" s="8">
        <v>0</v>
      </c>
      <c r="AD50" s="8">
        <v>130</v>
      </c>
    </row>
    <row r="51" spans="1:30" x14ac:dyDescent="0.25">
      <c r="A51" s="1">
        <v>1099</v>
      </c>
      <c r="B51" s="1" t="s">
        <v>4</v>
      </c>
      <c r="C51" s="1">
        <v>0</v>
      </c>
      <c r="D51" s="1">
        <v>155</v>
      </c>
      <c r="F51" s="1">
        <v>1100</v>
      </c>
      <c r="G51" s="1" t="s">
        <v>5</v>
      </c>
      <c r="H51" s="1">
        <v>1</v>
      </c>
      <c r="I51" s="1">
        <v>430</v>
      </c>
      <c r="J51" s="4"/>
      <c r="V51" s="8">
        <v>1223</v>
      </c>
      <c r="W51" s="8" t="s">
        <v>4</v>
      </c>
      <c r="X51" s="8">
        <v>0</v>
      </c>
      <c r="Y51" s="8">
        <v>130</v>
      </c>
      <c r="AA51" s="8">
        <v>1181</v>
      </c>
      <c r="AB51" s="8" t="s">
        <v>5</v>
      </c>
      <c r="AC51" s="8">
        <v>0</v>
      </c>
      <c r="AD51" s="8">
        <v>220</v>
      </c>
    </row>
    <row r="52" spans="1:30" x14ac:dyDescent="0.25">
      <c r="A52" s="1">
        <v>1102</v>
      </c>
      <c r="B52" s="1" t="s">
        <v>4</v>
      </c>
      <c r="C52" s="1">
        <v>0</v>
      </c>
      <c r="D52" s="1">
        <v>175</v>
      </c>
      <c r="F52" s="1">
        <v>1101</v>
      </c>
      <c r="G52" s="1" t="s">
        <v>5</v>
      </c>
      <c r="H52" s="1">
        <v>0</v>
      </c>
      <c r="I52" s="1">
        <v>370</v>
      </c>
      <c r="J52" s="4"/>
      <c r="V52" s="8">
        <v>1229</v>
      </c>
      <c r="W52" s="8" t="s">
        <v>4</v>
      </c>
      <c r="X52" s="8">
        <v>0</v>
      </c>
      <c r="Y52" s="8">
        <v>175</v>
      </c>
      <c r="AA52" s="8">
        <v>1186</v>
      </c>
      <c r="AB52" s="8" t="s">
        <v>5</v>
      </c>
      <c r="AC52" s="8">
        <v>0</v>
      </c>
      <c r="AD52" s="8">
        <v>155</v>
      </c>
    </row>
    <row r="53" spans="1:30" x14ac:dyDescent="0.25">
      <c r="A53" s="1">
        <v>1103</v>
      </c>
      <c r="B53" s="1" t="s">
        <v>4</v>
      </c>
      <c r="C53" s="1">
        <v>1</v>
      </c>
      <c r="D53" s="1">
        <v>640</v>
      </c>
      <c r="F53" s="1">
        <v>1104</v>
      </c>
      <c r="G53" s="1" t="s">
        <v>5</v>
      </c>
      <c r="H53" s="1">
        <v>0</v>
      </c>
      <c r="I53" s="1">
        <v>265</v>
      </c>
      <c r="J53" s="4"/>
      <c r="V53" s="8">
        <v>1233</v>
      </c>
      <c r="W53" s="8" t="s">
        <v>4</v>
      </c>
      <c r="X53" s="8">
        <v>0</v>
      </c>
      <c r="Y53" s="8">
        <v>145</v>
      </c>
      <c r="AA53" s="8">
        <v>1188</v>
      </c>
      <c r="AB53" s="8" t="s">
        <v>5</v>
      </c>
      <c r="AC53" s="8">
        <v>0</v>
      </c>
      <c r="AD53" s="8">
        <v>300</v>
      </c>
    </row>
    <row r="54" spans="1:30" x14ac:dyDescent="0.25">
      <c r="A54" s="1">
        <v>1106</v>
      </c>
      <c r="B54" s="1" t="s">
        <v>4</v>
      </c>
      <c r="C54" s="1">
        <v>1</v>
      </c>
      <c r="D54" s="1">
        <v>520</v>
      </c>
      <c r="F54" s="1">
        <v>1105</v>
      </c>
      <c r="G54" s="1" t="s">
        <v>5</v>
      </c>
      <c r="H54" s="1">
        <v>0</v>
      </c>
      <c r="I54" s="1">
        <v>150</v>
      </c>
      <c r="J54" s="4"/>
      <c r="V54" s="8">
        <v>1239</v>
      </c>
      <c r="W54" s="8" t="s">
        <v>4</v>
      </c>
      <c r="X54" s="8">
        <v>0</v>
      </c>
      <c r="Y54" s="8">
        <v>195</v>
      </c>
      <c r="AA54" s="8">
        <v>1194</v>
      </c>
      <c r="AB54" s="8" t="s">
        <v>5</v>
      </c>
      <c r="AC54" s="8">
        <v>0</v>
      </c>
      <c r="AD54" s="8">
        <v>460</v>
      </c>
    </row>
    <row r="55" spans="1:30" x14ac:dyDescent="0.25">
      <c r="A55" s="1">
        <v>1107</v>
      </c>
      <c r="B55" s="1" t="s">
        <v>4</v>
      </c>
      <c r="C55" s="1">
        <v>0</v>
      </c>
      <c r="D55" s="1">
        <v>185</v>
      </c>
      <c r="F55" s="1">
        <v>1108</v>
      </c>
      <c r="G55" s="1" t="s">
        <v>5</v>
      </c>
      <c r="H55" s="1">
        <v>0</v>
      </c>
      <c r="I55" s="1">
        <v>440</v>
      </c>
      <c r="J55" s="4"/>
      <c r="V55" s="8">
        <v>1243</v>
      </c>
      <c r="W55" s="8" t="s">
        <v>4</v>
      </c>
      <c r="X55" s="8">
        <v>0</v>
      </c>
      <c r="Y55" s="8">
        <v>120</v>
      </c>
      <c r="AA55" s="8">
        <v>1196</v>
      </c>
      <c r="AB55" s="8" t="s">
        <v>5</v>
      </c>
      <c r="AC55" s="8">
        <v>0</v>
      </c>
      <c r="AD55" s="8">
        <v>120</v>
      </c>
    </row>
    <row r="56" spans="1:30" x14ac:dyDescent="0.25">
      <c r="A56" s="1">
        <v>1110</v>
      </c>
      <c r="B56" s="1" t="s">
        <v>4</v>
      </c>
      <c r="C56" s="1">
        <v>0</v>
      </c>
      <c r="D56" s="1">
        <v>135</v>
      </c>
      <c r="F56" s="1">
        <v>1109</v>
      </c>
      <c r="G56" s="1" t="s">
        <v>5</v>
      </c>
      <c r="H56" s="1">
        <v>0</v>
      </c>
      <c r="I56" s="1">
        <v>205</v>
      </c>
      <c r="J56" s="4"/>
      <c r="V56" s="8">
        <v>1249</v>
      </c>
      <c r="W56" s="8" t="s">
        <v>4</v>
      </c>
      <c r="X56" s="8">
        <v>0</v>
      </c>
      <c r="Y56" s="8">
        <v>185</v>
      </c>
      <c r="AA56" s="8">
        <v>1200</v>
      </c>
      <c r="AB56" s="8" t="s">
        <v>5</v>
      </c>
      <c r="AC56" s="8">
        <v>0</v>
      </c>
      <c r="AD56" s="8">
        <v>440</v>
      </c>
    </row>
    <row r="57" spans="1:30" x14ac:dyDescent="0.25">
      <c r="A57" s="1">
        <v>1111</v>
      </c>
      <c r="B57" s="1" t="s">
        <v>4</v>
      </c>
      <c r="C57" s="1">
        <v>1</v>
      </c>
      <c r="D57" s="1">
        <v>590</v>
      </c>
      <c r="F57" s="1">
        <v>1112</v>
      </c>
      <c r="G57" s="1" t="s">
        <v>5</v>
      </c>
      <c r="H57" s="1">
        <v>1</v>
      </c>
      <c r="I57" s="1">
        <v>310</v>
      </c>
      <c r="J57" s="4"/>
      <c r="V57" s="8">
        <v>1253</v>
      </c>
      <c r="W57" s="8" t="s">
        <v>4</v>
      </c>
      <c r="X57" s="8">
        <v>0</v>
      </c>
      <c r="Y57" s="8">
        <v>140</v>
      </c>
      <c r="AA57" s="8">
        <v>1206</v>
      </c>
      <c r="AB57" s="8" t="s">
        <v>5</v>
      </c>
      <c r="AC57" s="8">
        <v>0</v>
      </c>
      <c r="AD57" s="8">
        <v>140</v>
      </c>
    </row>
    <row r="58" spans="1:30" x14ac:dyDescent="0.25">
      <c r="A58" s="1">
        <v>1113</v>
      </c>
      <c r="B58" s="1" t="s">
        <v>4</v>
      </c>
      <c r="C58" s="1">
        <v>1</v>
      </c>
      <c r="D58" s="1">
        <v>250</v>
      </c>
      <c r="F58" s="1">
        <v>1114</v>
      </c>
      <c r="G58" s="1" t="s">
        <v>5</v>
      </c>
      <c r="H58" s="1">
        <v>0</v>
      </c>
      <c r="I58" s="1">
        <v>165</v>
      </c>
      <c r="J58" s="4"/>
      <c r="V58" s="8">
        <v>1259</v>
      </c>
      <c r="W58" s="8" t="s">
        <v>4</v>
      </c>
      <c r="X58" s="8">
        <v>0</v>
      </c>
      <c r="Y58" s="8">
        <v>170</v>
      </c>
      <c r="AA58" s="8">
        <v>1208</v>
      </c>
      <c r="AB58" s="8" t="s">
        <v>5</v>
      </c>
      <c r="AC58" s="8">
        <v>0</v>
      </c>
      <c r="AD58" s="8">
        <v>315</v>
      </c>
    </row>
    <row r="59" spans="1:30" x14ac:dyDescent="0.25">
      <c r="A59" s="1">
        <v>1116</v>
      </c>
      <c r="B59" s="1" t="s">
        <v>4</v>
      </c>
      <c r="C59" s="1">
        <v>0</v>
      </c>
      <c r="D59" s="1">
        <v>115</v>
      </c>
      <c r="F59" s="1">
        <v>1115</v>
      </c>
      <c r="G59" s="1" t="s">
        <v>5</v>
      </c>
      <c r="H59" s="1">
        <v>1</v>
      </c>
      <c r="I59" s="1">
        <v>570</v>
      </c>
      <c r="J59" s="4"/>
      <c r="V59" s="8">
        <v>1263</v>
      </c>
      <c r="W59" s="8" t="s">
        <v>4</v>
      </c>
      <c r="X59" s="8">
        <v>0</v>
      </c>
      <c r="Y59" s="8">
        <v>150</v>
      </c>
      <c r="AA59" s="8">
        <v>1214</v>
      </c>
      <c r="AB59" s="8" t="s">
        <v>5</v>
      </c>
      <c r="AC59" s="8">
        <v>0</v>
      </c>
      <c r="AD59" s="8">
        <v>400</v>
      </c>
    </row>
    <row r="60" spans="1:30" x14ac:dyDescent="0.25">
      <c r="A60" s="1">
        <v>1117</v>
      </c>
      <c r="B60" s="1" t="s">
        <v>4</v>
      </c>
      <c r="C60" s="1">
        <v>1</v>
      </c>
      <c r="D60" s="1">
        <v>480</v>
      </c>
      <c r="F60" s="1">
        <v>1118</v>
      </c>
      <c r="G60" s="1" t="s">
        <v>5</v>
      </c>
      <c r="H60" s="1">
        <v>1</v>
      </c>
      <c r="I60" s="1">
        <v>285</v>
      </c>
      <c r="J60" s="4"/>
      <c r="V60" s="8">
        <v>1269</v>
      </c>
      <c r="W60" s="8" t="s">
        <v>4</v>
      </c>
      <c r="X60" s="8">
        <v>0</v>
      </c>
      <c r="Y60" s="8">
        <v>180</v>
      </c>
      <c r="AA60" s="8">
        <v>1216</v>
      </c>
      <c r="AB60" s="8" t="s">
        <v>5</v>
      </c>
      <c r="AC60" s="8">
        <v>0</v>
      </c>
      <c r="AD60" s="8">
        <v>150</v>
      </c>
    </row>
    <row r="61" spans="1:30" x14ac:dyDescent="0.25">
      <c r="A61" s="1">
        <v>1119</v>
      </c>
      <c r="B61" s="1" t="s">
        <v>4</v>
      </c>
      <c r="C61" s="1">
        <v>0</v>
      </c>
      <c r="D61" s="1">
        <v>200</v>
      </c>
      <c r="F61" s="1">
        <v>1120</v>
      </c>
      <c r="G61" s="1" t="s">
        <v>5</v>
      </c>
      <c r="H61" s="1">
        <v>0</v>
      </c>
      <c r="I61" s="1">
        <v>460</v>
      </c>
      <c r="J61" s="4"/>
      <c r="V61" s="8">
        <v>1273</v>
      </c>
      <c r="W61" s="8" t="s">
        <v>4</v>
      </c>
      <c r="X61" s="8">
        <v>0</v>
      </c>
      <c r="Y61" s="8">
        <v>135</v>
      </c>
      <c r="AA61" s="8">
        <v>1224</v>
      </c>
      <c r="AB61" s="8" t="s">
        <v>5</v>
      </c>
      <c r="AC61" s="8">
        <v>0</v>
      </c>
      <c r="AD61" s="8">
        <v>430</v>
      </c>
    </row>
    <row r="62" spans="1:30" x14ac:dyDescent="0.25">
      <c r="A62" s="1">
        <v>1122</v>
      </c>
      <c r="B62" s="1" t="s">
        <v>4</v>
      </c>
      <c r="C62" s="1">
        <v>1</v>
      </c>
      <c r="D62" s="1">
        <v>530</v>
      </c>
      <c r="F62" s="1">
        <v>1121</v>
      </c>
      <c r="G62" s="1" t="s">
        <v>5</v>
      </c>
      <c r="H62" s="1">
        <v>1</v>
      </c>
      <c r="I62" s="1">
        <v>225</v>
      </c>
      <c r="J62" s="4"/>
      <c r="V62" s="8">
        <v>1279</v>
      </c>
      <c r="W62" s="8" t="s">
        <v>4</v>
      </c>
      <c r="X62" s="8">
        <v>0</v>
      </c>
      <c r="Y62" s="8">
        <v>190</v>
      </c>
      <c r="AA62" s="8">
        <v>1226</v>
      </c>
      <c r="AB62" s="8" t="s">
        <v>5</v>
      </c>
      <c r="AC62" s="8">
        <v>0</v>
      </c>
      <c r="AD62" s="8">
        <v>125</v>
      </c>
    </row>
    <row r="63" spans="1:30" x14ac:dyDescent="0.25">
      <c r="A63" s="1">
        <v>1123</v>
      </c>
      <c r="B63" s="1" t="s">
        <v>4</v>
      </c>
      <c r="C63" s="1">
        <v>0</v>
      </c>
      <c r="D63" s="1">
        <v>140</v>
      </c>
      <c r="F63" s="1">
        <v>1124</v>
      </c>
      <c r="G63" s="1" t="s">
        <v>5</v>
      </c>
      <c r="H63" s="1">
        <v>1</v>
      </c>
      <c r="I63" s="1">
        <v>410</v>
      </c>
      <c r="J63" s="4"/>
      <c r="V63" s="8">
        <v>1283</v>
      </c>
      <c r="W63" s="8" t="s">
        <v>4</v>
      </c>
      <c r="X63" s="8">
        <v>0</v>
      </c>
      <c r="Y63" s="8">
        <v>115</v>
      </c>
      <c r="AA63" s="8">
        <v>1234</v>
      </c>
      <c r="AB63" s="8" t="s">
        <v>5</v>
      </c>
      <c r="AC63" s="8">
        <v>0</v>
      </c>
      <c r="AD63" s="8">
        <v>450</v>
      </c>
    </row>
    <row r="64" spans="1:30" x14ac:dyDescent="0.25">
      <c r="A64" s="1">
        <v>1125</v>
      </c>
      <c r="B64" s="1" t="s">
        <v>4</v>
      </c>
      <c r="C64" s="1">
        <v>1</v>
      </c>
      <c r="D64" s="1">
        <v>360</v>
      </c>
      <c r="F64" s="1">
        <v>1126</v>
      </c>
      <c r="G64" s="1" t="s">
        <v>5</v>
      </c>
      <c r="H64" s="1">
        <v>0</v>
      </c>
      <c r="I64" s="1">
        <v>125</v>
      </c>
      <c r="J64" s="4"/>
      <c r="V64" s="8">
        <v>1289</v>
      </c>
      <c r="W64" s="8" t="s">
        <v>4</v>
      </c>
      <c r="X64" s="8">
        <v>0</v>
      </c>
      <c r="Y64" s="8">
        <v>175</v>
      </c>
      <c r="AA64" s="8">
        <v>1236</v>
      </c>
      <c r="AB64" s="8" t="s">
        <v>5</v>
      </c>
      <c r="AC64" s="8">
        <v>0</v>
      </c>
      <c r="AD64" s="8">
        <v>135</v>
      </c>
    </row>
    <row r="65" spans="1:30" x14ac:dyDescent="0.25">
      <c r="A65" s="1">
        <v>1127</v>
      </c>
      <c r="B65" s="1" t="s">
        <v>4</v>
      </c>
      <c r="C65" s="1">
        <v>1</v>
      </c>
      <c r="D65" s="1">
        <v>600</v>
      </c>
      <c r="F65" s="1">
        <v>1128</v>
      </c>
      <c r="G65" s="1" t="s">
        <v>5</v>
      </c>
      <c r="H65" s="1">
        <v>1</v>
      </c>
      <c r="I65" s="1">
        <v>240</v>
      </c>
      <c r="J65" s="4"/>
      <c r="V65" s="8">
        <v>1293</v>
      </c>
      <c r="W65" s="8" t="s">
        <v>4</v>
      </c>
      <c r="X65" s="8">
        <v>0</v>
      </c>
      <c r="Y65" s="8">
        <v>140</v>
      </c>
      <c r="AA65" s="8">
        <v>1241</v>
      </c>
      <c r="AB65" s="8" t="s">
        <v>5</v>
      </c>
      <c r="AC65" s="8">
        <v>0</v>
      </c>
      <c r="AD65" s="8">
        <v>230</v>
      </c>
    </row>
    <row r="66" spans="1:30" x14ac:dyDescent="0.25">
      <c r="A66" s="1">
        <v>1129</v>
      </c>
      <c r="B66" s="1" t="s">
        <v>4</v>
      </c>
      <c r="C66" s="1">
        <v>0</v>
      </c>
      <c r="D66" s="1">
        <v>190</v>
      </c>
      <c r="F66" s="1">
        <v>1130</v>
      </c>
      <c r="G66" s="1" t="s">
        <v>5</v>
      </c>
      <c r="H66" s="1">
        <v>1</v>
      </c>
      <c r="I66" s="1">
        <v>500</v>
      </c>
      <c r="J66" s="4"/>
      <c r="V66" s="8">
        <v>1299</v>
      </c>
      <c r="W66" s="8" t="s">
        <v>4</v>
      </c>
      <c r="X66" s="8">
        <v>0</v>
      </c>
      <c r="Y66" s="8">
        <v>185</v>
      </c>
      <c r="AA66" s="8">
        <v>1246</v>
      </c>
      <c r="AB66" s="8" t="s">
        <v>5</v>
      </c>
      <c r="AC66" s="8">
        <v>0</v>
      </c>
      <c r="AD66" s="8">
        <v>155</v>
      </c>
    </row>
    <row r="67" spans="1:30" x14ac:dyDescent="0.25">
      <c r="A67" s="1">
        <v>1132</v>
      </c>
      <c r="B67" s="1" t="s">
        <v>4</v>
      </c>
      <c r="C67" s="1">
        <v>1</v>
      </c>
      <c r="D67" s="1">
        <v>440</v>
      </c>
      <c r="F67" s="1">
        <v>1131</v>
      </c>
      <c r="G67" s="1" t="s">
        <v>5</v>
      </c>
      <c r="H67" s="1">
        <v>1</v>
      </c>
      <c r="I67" s="1">
        <v>275</v>
      </c>
      <c r="J67" s="4"/>
      <c r="V67" s="8">
        <v>1303</v>
      </c>
      <c r="W67" s="8" t="s">
        <v>4</v>
      </c>
      <c r="X67" s="8">
        <v>0</v>
      </c>
      <c r="Y67" s="8">
        <v>155</v>
      </c>
      <c r="AA67" s="8">
        <v>1250</v>
      </c>
      <c r="AB67" s="8" t="s">
        <v>5</v>
      </c>
      <c r="AC67" s="8">
        <v>0</v>
      </c>
      <c r="AD67" s="8">
        <v>590</v>
      </c>
    </row>
    <row r="68" spans="1:30" x14ac:dyDescent="0.25">
      <c r="A68" s="1">
        <v>1133</v>
      </c>
      <c r="B68" s="1" t="s">
        <v>4</v>
      </c>
      <c r="C68" s="1">
        <v>0</v>
      </c>
      <c r="D68" s="1">
        <v>155</v>
      </c>
      <c r="F68" s="1">
        <v>1134</v>
      </c>
      <c r="G68" s="1" t="s">
        <v>5</v>
      </c>
      <c r="H68" s="1">
        <v>1</v>
      </c>
      <c r="I68" s="1">
        <v>380</v>
      </c>
      <c r="J68" s="4"/>
      <c r="V68" s="8">
        <v>1309</v>
      </c>
      <c r="W68" s="8" t="s">
        <v>4</v>
      </c>
      <c r="X68" s="8">
        <v>0</v>
      </c>
      <c r="Y68" s="8">
        <v>195</v>
      </c>
      <c r="AA68" s="8">
        <v>1256</v>
      </c>
      <c r="AB68" s="8" t="s">
        <v>5</v>
      </c>
      <c r="AC68" s="8">
        <v>0</v>
      </c>
      <c r="AD68" s="8">
        <v>130</v>
      </c>
    </row>
    <row r="69" spans="1:30" x14ac:dyDescent="0.25">
      <c r="A69" s="1">
        <v>1135</v>
      </c>
      <c r="B69" s="1" t="s">
        <v>4</v>
      </c>
      <c r="C69" s="1">
        <v>1</v>
      </c>
      <c r="D69" s="1">
        <v>470</v>
      </c>
      <c r="F69" s="1">
        <v>1136</v>
      </c>
      <c r="G69" s="1" t="s">
        <v>5</v>
      </c>
      <c r="H69" s="1">
        <v>0</v>
      </c>
      <c r="I69" s="1">
        <v>135</v>
      </c>
      <c r="J69" s="4"/>
      <c r="V69" s="8">
        <v>1313</v>
      </c>
      <c r="W69" s="8" t="s">
        <v>4</v>
      </c>
      <c r="X69" s="8">
        <v>0</v>
      </c>
      <c r="Y69" s="8">
        <v>125</v>
      </c>
      <c r="AA69" s="8">
        <v>1257</v>
      </c>
      <c r="AB69" s="8" t="s">
        <v>5</v>
      </c>
      <c r="AC69" s="8">
        <v>0</v>
      </c>
      <c r="AD69" s="8">
        <v>550</v>
      </c>
    </row>
    <row r="70" spans="1:30" x14ac:dyDescent="0.25">
      <c r="A70" s="1">
        <v>1138</v>
      </c>
      <c r="B70" s="1" t="s">
        <v>4</v>
      </c>
      <c r="C70" s="1">
        <v>1</v>
      </c>
      <c r="D70" s="1">
        <v>290</v>
      </c>
      <c r="F70" s="1">
        <v>1137</v>
      </c>
      <c r="G70" s="1" t="s">
        <v>5</v>
      </c>
      <c r="H70" s="1">
        <v>0</v>
      </c>
      <c r="I70" s="1">
        <v>550</v>
      </c>
      <c r="J70" s="4"/>
      <c r="V70" s="8">
        <v>1319</v>
      </c>
      <c r="W70" s="8" t="s">
        <v>4</v>
      </c>
      <c r="X70" s="8">
        <v>0</v>
      </c>
      <c r="Y70" s="8">
        <v>180</v>
      </c>
      <c r="AA70" s="8">
        <v>1266</v>
      </c>
      <c r="AB70" s="8" t="s">
        <v>5</v>
      </c>
      <c r="AC70" s="8">
        <v>0</v>
      </c>
      <c r="AD70" s="8">
        <v>125</v>
      </c>
    </row>
    <row r="71" spans="1:30" x14ac:dyDescent="0.25">
      <c r="A71" s="1">
        <v>1139</v>
      </c>
      <c r="B71" s="1" t="s">
        <v>4</v>
      </c>
      <c r="C71" s="1">
        <v>0</v>
      </c>
      <c r="D71" s="1">
        <v>180</v>
      </c>
      <c r="F71" s="1">
        <v>1140</v>
      </c>
      <c r="G71" s="1" t="s">
        <v>5</v>
      </c>
      <c r="H71" s="1">
        <v>1</v>
      </c>
      <c r="I71" s="1">
        <v>420</v>
      </c>
      <c r="J71" s="4"/>
      <c r="V71" s="8">
        <v>1323</v>
      </c>
      <c r="W71" s="8" t="s">
        <v>4</v>
      </c>
      <c r="X71" s="8">
        <v>0</v>
      </c>
      <c r="Y71" s="8">
        <v>135</v>
      </c>
      <c r="AA71" s="8">
        <v>1276</v>
      </c>
      <c r="AB71" s="8" t="s">
        <v>5</v>
      </c>
      <c r="AC71" s="8">
        <v>0</v>
      </c>
      <c r="AD71" s="8">
        <v>145</v>
      </c>
    </row>
    <row r="72" spans="1:30" x14ac:dyDescent="0.25">
      <c r="A72" s="1">
        <v>1142</v>
      </c>
      <c r="B72" s="1" t="s">
        <v>4</v>
      </c>
      <c r="C72" s="1">
        <v>1</v>
      </c>
      <c r="D72" s="1">
        <v>510</v>
      </c>
      <c r="F72" s="1">
        <v>1141</v>
      </c>
      <c r="G72" s="1" t="s">
        <v>5</v>
      </c>
      <c r="H72" s="1">
        <v>1</v>
      </c>
      <c r="I72" s="1">
        <v>215</v>
      </c>
      <c r="J72" s="4"/>
      <c r="V72" s="8">
        <v>1329</v>
      </c>
      <c r="W72" s="8" t="s">
        <v>4</v>
      </c>
      <c r="X72" s="8">
        <v>0</v>
      </c>
      <c r="Y72" s="8">
        <v>190</v>
      </c>
      <c r="AA72" s="8">
        <v>1281</v>
      </c>
      <c r="AB72" s="8" t="s">
        <v>5</v>
      </c>
      <c r="AC72" s="8">
        <v>0</v>
      </c>
      <c r="AD72" s="8">
        <v>235</v>
      </c>
    </row>
    <row r="73" spans="1:30" x14ac:dyDescent="0.25">
      <c r="A73" s="1">
        <v>1143</v>
      </c>
      <c r="B73" s="1" t="s">
        <v>4</v>
      </c>
      <c r="C73" s="1">
        <v>0</v>
      </c>
      <c r="D73" s="1">
        <v>120</v>
      </c>
      <c r="F73" s="1">
        <v>1144</v>
      </c>
      <c r="G73" s="1" t="s">
        <v>5</v>
      </c>
      <c r="H73" s="1">
        <v>0</v>
      </c>
      <c r="I73" s="1">
        <v>390</v>
      </c>
      <c r="J73" s="4"/>
      <c r="V73" s="8">
        <v>1333</v>
      </c>
      <c r="W73" s="8" t="s">
        <v>4</v>
      </c>
      <c r="X73" s="8">
        <v>0</v>
      </c>
      <c r="Y73" s="8">
        <v>145</v>
      </c>
      <c r="AA73" s="8">
        <v>1284</v>
      </c>
      <c r="AB73" s="8" t="s">
        <v>5</v>
      </c>
      <c r="AC73" s="8">
        <v>0</v>
      </c>
      <c r="AD73" s="8">
        <v>420</v>
      </c>
    </row>
    <row r="74" spans="1:30" x14ac:dyDescent="0.25">
      <c r="A74" s="1">
        <v>1145</v>
      </c>
      <c r="B74" s="1" t="s">
        <v>4</v>
      </c>
      <c r="C74" s="1">
        <v>1</v>
      </c>
      <c r="D74" s="1">
        <v>560</v>
      </c>
      <c r="F74" s="1">
        <v>1146</v>
      </c>
      <c r="G74" s="1" t="s">
        <v>5</v>
      </c>
      <c r="H74" s="1">
        <v>0</v>
      </c>
      <c r="I74" s="1">
        <v>145</v>
      </c>
      <c r="J74" s="4"/>
      <c r="V74" s="8">
        <v>1339</v>
      </c>
      <c r="W74" s="8" t="s">
        <v>4</v>
      </c>
      <c r="X74" s="8">
        <v>0</v>
      </c>
      <c r="Y74" s="8">
        <v>175</v>
      </c>
      <c r="AA74" s="8">
        <v>1286</v>
      </c>
      <c r="AB74" s="8" t="s">
        <v>5</v>
      </c>
      <c r="AC74" s="8">
        <v>0</v>
      </c>
      <c r="AD74" s="8">
        <v>160</v>
      </c>
    </row>
    <row r="75" spans="1:30" x14ac:dyDescent="0.25">
      <c r="A75" s="1">
        <v>1147</v>
      </c>
      <c r="B75" s="1" t="s">
        <v>4</v>
      </c>
      <c r="C75" s="1">
        <v>1</v>
      </c>
      <c r="D75" s="1">
        <v>430</v>
      </c>
      <c r="F75" s="1">
        <v>1148</v>
      </c>
      <c r="G75" s="1" t="s">
        <v>5</v>
      </c>
      <c r="H75" s="1">
        <v>1</v>
      </c>
      <c r="I75" s="1">
        <v>255</v>
      </c>
      <c r="J75" s="4"/>
      <c r="V75" s="8">
        <v>1343</v>
      </c>
      <c r="W75" s="8" t="s">
        <v>4</v>
      </c>
      <c r="X75" s="8">
        <v>0</v>
      </c>
      <c r="Y75" s="8">
        <v>120</v>
      </c>
      <c r="AA75" s="8">
        <v>1296</v>
      </c>
      <c r="AB75" s="8" t="s">
        <v>5</v>
      </c>
      <c r="AC75" s="8">
        <v>0</v>
      </c>
      <c r="AD75" s="8">
        <v>130</v>
      </c>
    </row>
    <row r="76" spans="1:30" x14ac:dyDescent="0.25">
      <c r="A76" s="1">
        <v>1149</v>
      </c>
      <c r="B76" s="1" t="s">
        <v>4</v>
      </c>
      <c r="C76" s="1">
        <v>0</v>
      </c>
      <c r="D76" s="1">
        <v>170</v>
      </c>
      <c r="F76" s="1">
        <v>1150</v>
      </c>
      <c r="G76" s="1" t="s">
        <v>5</v>
      </c>
      <c r="H76" s="1">
        <v>1</v>
      </c>
      <c r="I76" s="1">
        <v>540</v>
      </c>
      <c r="J76" s="4"/>
      <c r="V76" s="8">
        <v>1349</v>
      </c>
      <c r="W76" s="8" t="s">
        <v>4</v>
      </c>
      <c r="X76" s="8">
        <v>0</v>
      </c>
      <c r="Y76" s="8">
        <v>185</v>
      </c>
      <c r="AA76" s="8">
        <v>1306</v>
      </c>
      <c r="AB76" s="8" t="s">
        <v>5</v>
      </c>
      <c r="AC76" s="8">
        <v>0</v>
      </c>
      <c r="AD76" s="8">
        <v>140</v>
      </c>
    </row>
    <row r="77" spans="1:30" x14ac:dyDescent="0.25">
      <c r="A77" s="1">
        <v>1152</v>
      </c>
      <c r="B77" s="1" t="s">
        <v>4</v>
      </c>
      <c r="C77" s="1">
        <v>1</v>
      </c>
      <c r="D77" s="1">
        <v>490</v>
      </c>
      <c r="F77" s="1">
        <v>1151</v>
      </c>
      <c r="G77" s="1" t="s">
        <v>5</v>
      </c>
      <c r="H77" s="1">
        <v>0</v>
      </c>
      <c r="I77" s="1">
        <v>230</v>
      </c>
      <c r="J77" s="4"/>
      <c r="V77" s="8">
        <v>1353</v>
      </c>
      <c r="W77" s="8" t="s">
        <v>4</v>
      </c>
      <c r="X77" s="8">
        <v>0</v>
      </c>
      <c r="Y77" s="8">
        <v>130</v>
      </c>
      <c r="AA77" s="8">
        <v>1316</v>
      </c>
      <c r="AB77" s="8" t="s">
        <v>5</v>
      </c>
      <c r="AC77" s="8">
        <v>0</v>
      </c>
      <c r="AD77" s="8">
        <v>150</v>
      </c>
    </row>
    <row r="78" spans="1:30" x14ac:dyDescent="0.25">
      <c r="A78" s="1">
        <v>1153</v>
      </c>
      <c r="B78" s="1" t="s">
        <v>4</v>
      </c>
      <c r="C78" s="1">
        <v>0</v>
      </c>
      <c r="D78" s="1">
        <v>130</v>
      </c>
      <c r="F78" s="1">
        <v>1154</v>
      </c>
      <c r="G78" s="1" t="s">
        <v>5</v>
      </c>
      <c r="H78" s="1">
        <v>1</v>
      </c>
      <c r="I78" s="1">
        <v>470</v>
      </c>
      <c r="J78" s="4"/>
      <c r="V78" s="8">
        <v>1359</v>
      </c>
      <c r="W78" s="8" t="s">
        <v>4</v>
      </c>
      <c r="X78" s="8">
        <v>0</v>
      </c>
      <c r="Y78" s="8">
        <v>195</v>
      </c>
      <c r="AA78" s="8">
        <v>1321</v>
      </c>
      <c r="AB78" s="8" t="s">
        <v>5</v>
      </c>
      <c r="AC78" s="8">
        <v>0</v>
      </c>
      <c r="AD78" s="8">
        <v>225</v>
      </c>
    </row>
    <row r="79" spans="1:30" x14ac:dyDescent="0.25">
      <c r="A79" s="1">
        <v>1155</v>
      </c>
      <c r="B79" s="1" t="s">
        <v>4</v>
      </c>
      <c r="C79" s="1">
        <v>1</v>
      </c>
      <c r="D79" s="1">
        <v>320</v>
      </c>
      <c r="F79" s="1">
        <v>1156</v>
      </c>
      <c r="G79" s="1" t="s">
        <v>5</v>
      </c>
      <c r="H79" s="1">
        <v>0</v>
      </c>
      <c r="I79" s="1">
        <v>160</v>
      </c>
      <c r="J79" s="4"/>
      <c r="V79" s="8">
        <v>1363</v>
      </c>
      <c r="W79" s="8" t="s">
        <v>4</v>
      </c>
      <c r="X79" s="8">
        <v>0</v>
      </c>
      <c r="Y79" s="8">
        <v>150</v>
      </c>
      <c r="AA79" s="8">
        <v>1324</v>
      </c>
      <c r="AB79" s="8" t="s">
        <v>5</v>
      </c>
      <c r="AC79" s="8">
        <v>0</v>
      </c>
      <c r="AD79" s="8">
        <v>450</v>
      </c>
    </row>
    <row r="80" spans="1:30" x14ac:dyDescent="0.25">
      <c r="A80" s="1">
        <v>1158</v>
      </c>
      <c r="B80" s="1" t="s">
        <v>4</v>
      </c>
      <c r="C80" s="1">
        <v>1</v>
      </c>
      <c r="D80" s="1">
        <v>280</v>
      </c>
      <c r="F80" s="1">
        <v>1157</v>
      </c>
      <c r="G80" s="1" t="s">
        <v>5</v>
      </c>
      <c r="H80" s="1">
        <v>0</v>
      </c>
      <c r="I80" s="1">
        <v>510</v>
      </c>
      <c r="J80" s="4"/>
      <c r="V80" s="8">
        <v>1369</v>
      </c>
      <c r="W80" s="8" t="s">
        <v>4</v>
      </c>
      <c r="X80" s="8">
        <v>0</v>
      </c>
      <c r="Y80" s="8">
        <v>180</v>
      </c>
      <c r="AA80" s="8">
        <v>1326</v>
      </c>
      <c r="AB80" s="8" t="s">
        <v>5</v>
      </c>
      <c r="AC80" s="8">
        <v>0</v>
      </c>
      <c r="AD80" s="8">
        <v>130</v>
      </c>
    </row>
    <row r="81" spans="1:30" x14ac:dyDescent="0.25">
      <c r="A81" s="1">
        <v>1159</v>
      </c>
      <c r="B81" s="1" t="s">
        <v>4</v>
      </c>
      <c r="C81" s="1">
        <v>0</v>
      </c>
      <c r="D81" s="1">
        <v>195</v>
      </c>
      <c r="F81" s="1">
        <v>1160</v>
      </c>
      <c r="G81" s="1" t="s">
        <v>5</v>
      </c>
      <c r="H81" s="1">
        <v>1</v>
      </c>
      <c r="I81" s="1">
        <v>450</v>
      </c>
      <c r="J81" s="4"/>
      <c r="V81" s="8">
        <v>1373</v>
      </c>
      <c r="W81" s="8" t="s">
        <v>4</v>
      </c>
      <c r="X81" s="8">
        <v>0</v>
      </c>
      <c r="Y81" s="8">
        <v>140</v>
      </c>
      <c r="AA81" s="8">
        <v>1330</v>
      </c>
      <c r="AB81" s="8" t="s">
        <v>5</v>
      </c>
      <c r="AC81" s="8">
        <v>0</v>
      </c>
      <c r="AD81" s="8">
        <v>490</v>
      </c>
    </row>
    <row r="82" spans="1:30" x14ac:dyDescent="0.25">
      <c r="A82" s="1">
        <v>1162</v>
      </c>
      <c r="B82" s="1" t="s">
        <v>4</v>
      </c>
      <c r="C82" s="1">
        <v>1</v>
      </c>
      <c r="D82" s="1">
        <v>550</v>
      </c>
      <c r="F82" s="1">
        <v>1161</v>
      </c>
      <c r="G82" s="1" t="s">
        <v>5</v>
      </c>
      <c r="H82" s="1">
        <v>1</v>
      </c>
      <c r="I82" s="1">
        <v>210</v>
      </c>
      <c r="J82" s="4"/>
      <c r="V82" s="8">
        <v>1379</v>
      </c>
      <c r="W82" s="8" t="s">
        <v>4</v>
      </c>
      <c r="X82" s="8">
        <v>0</v>
      </c>
      <c r="Y82" s="8">
        <v>190</v>
      </c>
      <c r="AA82" s="8">
        <v>1336</v>
      </c>
      <c r="AB82" s="8" t="s">
        <v>5</v>
      </c>
      <c r="AC82" s="8">
        <v>0</v>
      </c>
      <c r="AD82" s="8">
        <v>155</v>
      </c>
    </row>
    <row r="83" spans="1:30" x14ac:dyDescent="0.25">
      <c r="A83" s="1">
        <v>1163</v>
      </c>
      <c r="B83" s="1" t="s">
        <v>4</v>
      </c>
      <c r="C83" s="1">
        <v>0</v>
      </c>
      <c r="D83" s="1">
        <v>110</v>
      </c>
      <c r="F83" s="1">
        <v>1164</v>
      </c>
      <c r="G83" s="1" t="s">
        <v>5</v>
      </c>
      <c r="H83" s="1">
        <v>0</v>
      </c>
      <c r="I83" s="1">
        <v>360</v>
      </c>
      <c r="J83" s="4"/>
      <c r="V83" s="8">
        <v>1383</v>
      </c>
      <c r="W83" s="8" t="s">
        <v>4</v>
      </c>
      <c r="X83" s="8">
        <v>0</v>
      </c>
      <c r="Y83" s="8">
        <v>125</v>
      </c>
      <c r="AA83" s="8">
        <v>1340</v>
      </c>
      <c r="AB83" s="8" t="s">
        <v>5</v>
      </c>
      <c r="AC83" s="8">
        <v>0</v>
      </c>
      <c r="AD83" s="8">
        <v>520</v>
      </c>
    </row>
    <row r="84" spans="1:30" x14ac:dyDescent="0.25">
      <c r="A84" s="1">
        <v>1165</v>
      </c>
      <c r="B84" s="1" t="s">
        <v>4</v>
      </c>
      <c r="C84" s="1">
        <v>1</v>
      </c>
      <c r="D84" s="1">
        <v>500</v>
      </c>
      <c r="F84" s="1">
        <v>1166</v>
      </c>
      <c r="G84" s="1" t="s">
        <v>5</v>
      </c>
      <c r="H84" s="1">
        <v>0</v>
      </c>
      <c r="I84" s="1">
        <v>140</v>
      </c>
      <c r="J84" s="4"/>
      <c r="V84" s="8">
        <v>1389</v>
      </c>
      <c r="W84" s="8" t="s">
        <v>4</v>
      </c>
      <c r="X84" s="8">
        <v>0</v>
      </c>
      <c r="Y84" s="8">
        <v>175</v>
      </c>
      <c r="AA84" s="8">
        <v>1346</v>
      </c>
      <c r="AB84" s="8" t="s">
        <v>5</v>
      </c>
      <c r="AC84" s="8">
        <v>0</v>
      </c>
      <c r="AD84" s="8">
        <v>140</v>
      </c>
    </row>
    <row r="85" spans="1:30" x14ac:dyDescent="0.25">
      <c r="A85" s="1">
        <v>1167</v>
      </c>
      <c r="B85" s="1" t="s">
        <v>4</v>
      </c>
      <c r="C85" s="1">
        <v>1</v>
      </c>
      <c r="D85" s="1">
        <v>420</v>
      </c>
      <c r="F85" s="1">
        <v>1168</v>
      </c>
      <c r="G85" s="1" t="s">
        <v>5</v>
      </c>
      <c r="H85" s="1">
        <v>1</v>
      </c>
      <c r="I85" s="1">
        <v>295</v>
      </c>
      <c r="J85" s="4"/>
      <c r="V85" s="8">
        <v>1393</v>
      </c>
      <c r="W85" s="8" t="s">
        <v>4</v>
      </c>
      <c r="X85" s="8">
        <v>0</v>
      </c>
      <c r="Y85" s="8">
        <v>145</v>
      </c>
      <c r="AA85" s="8">
        <v>1348</v>
      </c>
      <c r="AB85" s="8" t="s">
        <v>5</v>
      </c>
      <c r="AC85" s="8">
        <v>0</v>
      </c>
      <c r="AD85" s="8">
        <v>315</v>
      </c>
    </row>
    <row r="86" spans="1:30" x14ac:dyDescent="0.25">
      <c r="A86" s="1">
        <v>1169</v>
      </c>
      <c r="B86" s="1" t="s">
        <v>4</v>
      </c>
      <c r="C86" s="1">
        <v>0</v>
      </c>
      <c r="D86" s="1">
        <v>185</v>
      </c>
      <c r="F86" s="1">
        <v>1170</v>
      </c>
      <c r="G86" s="1" t="s">
        <v>5</v>
      </c>
      <c r="H86" s="1">
        <v>1</v>
      </c>
      <c r="I86" s="1">
        <v>580</v>
      </c>
      <c r="J86" s="4"/>
      <c r="V86" s="8">
        <v>1399</v>
      </c>
      <c r="W86" s="8" t="s">
        <v>4</v>
      </c>
      <c r="X86" s="8">
        <v>0</v>
      </c>
      <c r="Y86" s="8">
        <v>185</v>
      </c>
      <c r="AA86" s="8">
        <v>1354</v>
      </c>
      <c r="AB86" s="8" t="s">
        <v>5</v>
      </c>
      <c r="AC86" s="8">
        <v>0</v>
      </c>
      <c r="AD86" s="8">
        <v>470</v>
      </c>
    </row>
    <row r="87" spans="1:30" x14ac:dyDescent="0.25">
      <c r="A87" s="1">
        <v>1172</v>
      </c>
      <c r="B87" s="1" t="s">
        <v>4</v>
      </c>
      <c r="C87" s="1">
        <v>1</v>
      </c>
      <c r="D87" s="1">
        <v>460</v>
      </c>
      <c r="F87" s="1">
        <v>1171</v>
      </c>
      <c r="G87" s="1" t="s">
        <v>5</v>
      </c>
      <c r="H87" s="1">
        <v>0</v>
      </c>
      <c r="I87" s="1">
        <v>245</v>
      </c>
      <c r="J87" s="4"/>
      <c r="V87" s="8">
        <v>1403</v>
      </c>
      <c r="W87" s="8" t="s">
        <v>4</v>
      </c>
      <c r="X87" s="8">
        <v>0</v>
      </c>
      <c r="Y87" s="8">
        <v>135</v>
      </c>
      <c r="AA87" s="8">
        <v>1356</v>
      </c>
      <c r="AB87" s="8" t="s">
        <v>5</v>
      </c>
      <c r="AC87" s="8">
        <v>0</v>
      </c>
      <c r="AD87" s="8">
        <v>125</v>
      </c>
    </row>
    <row r="88" spans="1:30" x14ac:dyDescent="0.25">
      <c r="A88" s="1">
        <v>1173</v>
      </c>
      <c r="B88" s="1" t="s">
        <v>4</v>
      </c>
      <c r="C88" s="1">
        <v>0</v>
      </c>
      <c r="D88" s="1">
        <v>150</v>
      </c>
      <c r="F88" s="1">
        <v>1174</v>
      </c>
      <c r="G88" s="1" t="s">
        <v>5</v>
      </c>
      <c r="H88" s="1">
        <v>1</v>
      </c>
      <c r="I88" s="1">
        <v>430</v>
      </c>
      <c r="J88" s="4"/>
      <c r="V88" s="8">
        <v>1409</v>
      </c>
      <c r="W88" s="8" t="s">
        <v>4</v>
      </c>
      <c r="X88" s="8">
        <v>0</v>
      </c>
      <c r="Y88" s="8">
        <v>180</v>
      </c>
      <c r="AA88" s="8">
        <v>1360</v>
      </c>
      <c r="AB88" s="8" t="s">
        <v>5</v>
      </c>
      <c r="AC88" s="8">
        <v>0</v>
      </c>
      <c r="AD88" s="8">
        <v>500</v>
      </c>
    </row>
    <row r="89" spans="1:30" x14ac:dyDescent="0.25">
      <c r="A89" s="1">
        <v>1175</v>
      </c>
      <c r="B89" s="1" t="s">
        <v>4</v>
      </c>
      <c r="C89" s="1">
        <v>1</v>
      </c>
      <c r="D89" s="1">
        <v>340</v>
      </c>
      <c r="F89" s="1">
        <v>1176</v>
      </c>
      <c r="G89" s="1" t="s">
        <v>5</v>
      </c>
      <c r="H89" s="1">
        <v>0</v>
      </c>
      <c r="I89" s="1">
        <v>130</v>
      </c>
      <c r="J89" s="4"/>
      <c r="V89" s="8">
        <v>1413</v>
      </c>
      <c r="W89" s="8" t="s">
        <v>4</v>
      </c>
      <c r="X89" s="8">
        <v>0</v>
      </c>
      <c r="Y89" s="8">
        <v>140</v>
      </c>
      <c r="AA89" s="8">
        <v>1366</v>
      </c>
      <c r="AB89" s="8" t="s">
        <v>5</v>
      </c>
      <c r="AC89" s="8">
        <v>0</v>
      </c>
      <c r="AD89" s="8">
        <v>135</v>
      </c>
    </row>
    <row r="90" spans="1:30" x14ac:dyDescent="0.25">
      <c r="A90" s="1">
        <v>1178</v>
      </c>
      <c r="B90" s="1" t="s">
        <v>4</v>
      </c>
      <c r="C90" s="1">
        <v>1</v>
      </c>
      <c r="D90" s="1">
        <v>270</v>
      </c>
      <c r="F90" s="1">
        <v>1177</v>
      </c>
      <c r="G90" s="1" t="s">
        <v>5</v>
      </c>
      <c r="H90" s="1">
        <v>1</v>
      </c>
      <c r="I90" s="1">
        <v>520</v>
      </c>
      <c r="J90" s="4"/>
      <c r="V90" s="8">
        <v>1419</v>
      </c>
      <c r="W90" s="8" t="s">
        <v>4</v>
      </c>
      <c r="X90" s="8">
        <v>0</v>
      </c>
      <c r="Y90" s="8">
        <v>195</v>
      </c>
      <c r="AA90" s="8">
        <v>1376</v>
      </c>
      <c r="AB90" s="8" t="s">
        <v>5</v>
      </c>
      <c r="AC90" s="8">
        <v>0</v>
      </c>
      <c r="AD90" s="8">
        <v>155</v>
      </c>
    </row>
    <row r="91" spans="1:30" x14ac:dyDescent="0.25">
      <c r="A91" s="1">
        <v>1179</v>
      </c>
      <c r="B91" s="1" t="s">
        <v>4</v>
      </c>
      <c r="C91" s="1">
        <v>0</v>
      </c>
      <c r="D91" s="1">
        <v>200</v>
      </c>
      <c r="F91" s="1">
        <v>1180</v>
      </c>
      <c r="G91" s="1" t="s">
        <v>5</v>
      </c>
      <c r="H91" s="1">
        <v>1</v>
      </c>
      <c r="I91" s="1">
        <v>490</v>
      </c>
      <c r="J91" s="4"/>
      <c r="V91" s="8">
        <v>1423</v>
      </c>
      <c r="W91" s="8" t="s">
        <v>4</v>
      </c>
      <c r="X91" s="8">
        <v>0</v>
      </c>
      <c r="Y91" s="8">
        <v>130</v>
      </c>
      <c r="AA91" s="8">
        <v>1386</v>
      </c>
      <c r="AB91" s="8" t="s">
        <v>5</v>
      </c>
      <c r="AC91" s="8">
        <v>0</v>
      </c>
      <c r="AD91" s="8">
        <v>160</v>
      </c>
    </row>
    <row r="92" spans="1:30" x14ac:dyDescent="0.25">
      <c r="A92" s="1">
        <v>1182</v>
      </c>
      <c r="B92" s="1" t="s">
        <v>4</v>
      </c>
      <c r="C92" s="1">
        <v>1</v>
      </c>
      <c r="D92" s="1">
        <v>570</v>
      </c>
      <c r="F92" s="1">
        <v>1181</v>
      </c>
      <c r="G92" s="1" t="s">
        <v>5</v>
      </c>
      <c r="H92" s="1">
        <v>0</v>
      </c>
      <c r="I92" s="1">
        <v>220</v>
      </c>
      <c r="J92" s="4"/>
      <c r="V92" s="8">
        <v>1429</v>
      </c>
      <c r="W92" s="8" t="s">
        <v>4</v>
      </c>
      <c r="X92" s="8">
        <v>0</v>
      </c>
      <c r="Y92" s="8">
        <v>185</v>
      </c>
      <c r="AA92" s="8">
        <v>1396</v>
      </c>
      <c r="AB92" s="8" t="s">
        <v>5</v>
      </c>
      <c r="AC92" s="8">
        <v>0</v>
      </c>
      <c r="AD92" s="8">
        <v>130</v>
      </c>
    </row>
    <row r="93" spans="1:30" x14ac:dyDescent="0.25">
      <c r="A93" s="1">
        <v>1183</v>
      </c>
      <c r="B93" s="1" t="s">
        <v>4</v>
      </c>
      <c r="C93" s="1">
        <v>0</v>
      </c>
      <c r="D93" s="1">
        <v>125</v>
      </c>
      <c r="F93" s="1">
        <v>1184</v>
      </c>
      <c r="G93" s="1" t="s">
        <v>5</v>
      </c>
      <c r="H93" s="1">
        <v>1</v>
      </c>
      <c r="I93" s="1">
        <v>410</v>
      </c>
      <c r="J93" s="4"/>
      <c r="V93" s="8">
        <v>1433</v>
      </c>
      <c r="W93" s="8" t="s">
        <v>4</v>
      </c>
      <c r="X93" s="8">
        <v>0</v>
      </c>
      <c r="Y93" s="8">
        <v>145</v>
      </c>
      <c r="AA93" s="8">
        <v>1406</v>
      </c>
      <c r="AB93" s="8" t="s">
        <v>5</v>
      </c>
      <c r="AC93" s="8">
        <v>0</v>
      </c>
      <c r="AD93" s="8">
        <v>150</v>
      </c>
    </row>
    <row r="94" spans="1:30" x14ac:dyDescent="0.25">
      <c r="A94" s="1">
        <v>1185</v>
      </c>
      <c r="B94" s="1" t="s">
        <v>4</v>
      </c>
      <c r="C94" s="1">
        <v>1</v>
      </c>
      <c r="D94" s="1">
        <v>450</v>
      </c>
      <c r="F94" s="1">
        <v>1186</v>
      </c>
      <c r="G94" s="1" t="s">
        <v>5</v>
      </c>
      <c r="H94" s="1">
        <v>0</v>
      </c>
      <c r="I94" s="1">
        <v>155</v>
      </c>
      <c r="J94" s="4"/>
      <c r="V94" s="8">
        <v>1439</v>
      </c>
      <c r="W94" s="8" t="s">
        <v>4</v>
      </c>
      <c r="X94" s="8">
        <v>0</v>
      </c>
      <c r="Y94" s="8">
        <v>180</v>
      </c>
      <c r="AA94" s="8">
        <v>1416</v>
      </c>
      <c r="AB94" s="8" t="s">
        <v>5</v>
      </c>
      <c r="AC94" s="8">
        <v>0</v>
      </c>
      <c r="AD94" s="8">
        <v>125</v>
      </c>
    </row>
    <row r="95" spans="1:30" x14ac:dyDescent="0.25">
      <c r="A95" s="1">
        <v>1187</v>
      </c>
      <c r="B95" s="1" t="s">
        <v>4</v>
      </c>
      <c r="C95" s="1">
        <v>1</v>
      </c>
      <c r="D95" s="1">
        <v>380</v>
      </c>
      <c r="F95" s="1">
        <v>1188</v>
      </c>
      <c r="G95" s="1" t="s">
        <v>5</v>
      </c>
      <c r="H95" s="1">
        <v>0</v>
      </c>
      <c r="I95" s="1">
        <v>300</v>
      </c>
      <c r="J95" s="4"/>
      <c r="V95" s="8">
        <v>1443</v>
      </c>
      <c r="W95" s="8" t="s">
        <v>4</v>
      </c>
      <c r="X95" s="8">
        <v>0</v>
      </c>
      <c r="Y95" s="8">
        <v>150</v>
      </c>
      <c r="AA95" s="8">
        <v>1426</v>
      </c>
      <c r="AB95" s="8" t="s">
        <v>5</v>
      </c>
      <c r="AC95" s="8">
        <v>0</v>
      </c>
      <c r="AD95" s="8">
        <v>155</v>
      </c>
    </row>
    <row r="96" spans="1:30" x14ac:dyDescent="0.25">
      <c r="A96" s="1">
        <v>1189</v>
      </c>
      <c r="B96" s="1" t="s">
        <v>4</v>
      </c>
      <c r="C96" s="1">
        <v>0</v>
      </c>
      <c r="D96" s="1">
        <v>175</v>
      </c>
      <c r="F96" s="1">
        <v>1190</v>
      </c>
      <c r="G96" s="1" t="s">
        <v>5</v>
      </c>
      <c r="H96" s="1">
        <v>1</v>
      </c>
      <c r="I96" s="1">
        <v>530</v>
      </c>
      <c r="J96" s="4"/>
      <c r="V96" s="8">
        <v>1449</v>
      </c>
      <c r="W96" s="8" t="s">
        <v>4</v>
      </c>
      <c r="X96" s="8">
        <v>0</v>
      </c>
      <c r="Y96" s="8">
        <v>175</v>
      </c>
      <c r="AA96" s="8">
        <v>1436</v>
      </c>
      <c r="AB96" s="8" t="s">
        <v>5</v>
      </c>
      <c r="AC96" s="8">
        <v>0</v>
      </c>
      <c r="AD96" s="8">
        <v>135</v>
      </c>
    </row>
    <row r="97" spans="1:30" x14ac:dyDescent="0.25">
      <c r="A97" s="1">
        <v>1192</v>
      </c>
      <c r="B97" s="1" t="s">
        <v>4</v>
      </c>
      <c r="C97" s="1">
        <v>1</v>
      </c>
      <c r="D97" s="1">
        <v>480</v>
      </c>
      <c r="F97" s="1">
        <v>1191</v>
      </c>
      <c r="G97" s="1" t="s">
        <v>5</v>
      </c>
      <c r="H97" s="1">
        <v>1</v>
      </c>
      <c r="I97" s="1">
        <v>235</v>
      </c>
      <c r="J97" s="4"/>
      <c r="V97" s="8">
        <v>1453</v>
      </c>
      <c r="W97" s="8" t="s">
        <v>4</v>
      </c>
      <c r="X97" s="8">
        <v>0</v>
      </c>
      <c r="Y97" s="8">
        <v>135</v>
      </c>
      <c r="AA97" s="8">
        <v>1446</v>
      </c>
      <c r="AB97" s="8" t="s">
        <v>5</v>
      </c>
      <c r="AC97" s="8">
        <v>0</v>
      </c>
      <c r="AD97" s="8">
        <v>140</v>
      </c>
    </row>
    <row r="98" spans="1:30" x14ac:dyDescent="0.25">
      <c r="A98" s="1">
        <v>1193</v>
      </c>
      <c r="B98" s="1" t="s">
        <v>4</v>
      </c>
      <c r="C98" s="1">
        <v>0</v>
      </c>
      <c r="D98" s="1">
        <v>145</v>
      </c>
      <c r="F98" s="1">
        <v>1194</v>
      </c>
      <c r="G98" s="1" t="s">
        <v>5</v>
      </c>
      <c r="H98" s="1">
        <v>0</v>
      </c>
      <c r="I98" s="1">
        <v>460</v>
      </c>
      <c r="J98" s="4"/>
      <c r="V98" s="8">
        <v>1459</v>
      </c>
      <c r="W98" s="8" t="s">
        <v>4</v>
      </c>
      <c r="X98" s="8">
        <v>0</v>
      </c>
      <c r="Y98" s="8">
        <v>190</v>
      </c>
      <c r="AA98" s="8">
        <v>1456</v>
      </c>
      <c r="AB98" s="8" t="s">
        <v>5</v>
      </c>
      <c r="AC98" s="8">
        <v>0</v>
      </c>
      <c r="AD98" s="8">
        <v>155</v>
      </c>
    </row>
    <row r="99" spans="1:30" x14ac:dyDescent="0.25">
      <c r="A99" s="1">
        <v>1195</v>
      </c>
      <c r="B99" s="1" t="s">
        <v>4</v>
      </c>
      <c r="C99" s="1">
        <v>1</v>
      </c>
      <c r="D99" s="1">
        <v>330</v>
      </c>
      <c r="F99" s="1">
        <v>1196</v>
      </c>
      <c r="G99" s="1" t="s">
        <v>5</v>
      </c>
      <c r="H99" s="1">
        <v>0</v>
      </c>
      <c r="I99" s="1">
        <v>120</v>
      </c>
      <c r="J99" s="4"/>
      <c r="V99" s="8">
        <v>1463</v>
      </c>
      <c r="W99" s="8" t="s">
        <v>4</v>
      </c>
      <c r="X99" s="8">
        <v>0</v>
      </c>
      <c r="Y99" s="8">
        <v>125</v>
      </c>
      <c r="AA99" s="8">
        <v>1460</v>
      </c>
      <c r="AB99" s="8" t="s">
        <v>5</v>
      </c>
      <c r="AC99" s="8">
        <v>0</v>
      </c>
      <c r="AD99" s="8">
        <v>510</v>
      </c>
    </row>
    <row r="100" spans="1:30" x14ac:dyDescent="0.25">
      <c r="A100" s="1">
        <v>1198</v>
      </c>
      <c r="B100" s="1" t="s">
        <v>4</v>
      </c>
      <c r="C100" s="1">
        <v>1</v>
      </c>
      <c r="D100" s="1">
        <v>260</v>
      </c>
      <c r="F100" s="1">
        <v>1197</v>
      </c>
      <c r="G100" s="1" t="s">
        <v>5</v>
      </c>
      <c r="H100" s="1">
        <v>1</v>
      </c>
      <c r="I100" s="1">
        <v>510</v>
      </c>
      <c r="J100" s="4"/>
      <c r="V100" s="8">
        <v>1469</v>
      </c>
      <c r="W100" s="8" t="s">
        <v>4</v>
      </c>
      <c r="X100" s="8">
        <v>0</v>
      </c>
      <c r="Y100" s="8">
        <v>185</v>
      </c>
      <c r="AA100" s="8">
        <v>1466</v>
      </c>
      <c r="AB100" s="8" t="s">
        <v>5</v>
      </c>
      <c r="AC100" s="8">
        <v>0</v>
      </c>
      <c r="AD100" s="8">
        <v>160</v>
      </c>
    </row>
    <row r="101" spans="1:30" x14ac:dyDescent="0.25">
      <c r="A101" s="1">
        <v>1199</v>
      </c>
      <c r="B101" s="1" t="s">
        <v>4</v>
      </c>
      <c r="C101" s="1">
        <v>0</v>
      </c>
      <c r="D101" s="1">
        <v>190</v>
      </c>
      <c r="F101" s="1">
        <v>1200</v>
      </c>
      <c r="G101" s="1" t="s">
        <v>5</v>
      </c>
      <c r="H101" s="1">
        <v>0</v>
      </c>
      <c r="I101" s="1">
        <v>440</v>
      </c>
      <c r="J101" s="4"/>
      <c r="V101" s="8">
        <v>1473</v>
      </c>
      <c r="W101" s="8" t="s">
        <v>4</v>
      </c>
      <c r="X101" s="8">
        <v>0</v>
      </c>
      <c r="Y101" s="8">
        <v>140</v>
      </c>
      <c r="AA101" s="8">
        <v>1476</v>
      </c>
      <c r="AB101" s="8" t="s">
        <v>5</v>
      </c>
      <c r="AC101" s="8">
        <v>0</v>
      </c>
      <c r="AD101" s="8">
        <v>130</v>
      </c>
    </row>
    <row r="102" spans="1:30" x14ac:dyDescent="0.25">
      <c r="A102" s="1">
        <v>1202</v>
      </c>
      <c r="B102" s="1" t="s">
        <v>4</v>
      </c>
      <c r="C102" s="1">
        <v>1</v>
      </c>
      <c r="D102" s="1">
        <v>590</v>
      </c>
      <c r="F102" s="1">
        <v>1201</v>
      </c>
      <c r="G102" s="1" t="s">
        <v>5</v>
      </c>
      <c r="H102" s="1">
        <v>1</v>
      </c>
      <c r="I102" s="1">
        <v>205</v>
      </c>
      <c r="J102" s="4"/>
      <c r="V102" s="8">
        <v>1479</v>
      </c>
      <c r="W102" s="8" t="s">
        <v>4</v>
      </c>
      <c r="X102" s="8">
        <v>0</v>
      </c>
      <c r="Y102" s="8">
        <v>180</v>
      </c>
      <c r="AA102" s="8">
        <v>1486</v>
      </c>
      <c r="AB102" s="8" t="s">
        <v>5</v>
      </c>
      <c r="AC102" s="8">
        <v>0</v>
      </c>
      <c r="AD102" s="8">
        <v>150</v>
      </c>
    </row>
    <row r="103" spans="1:30" x14ac:dyDescent="0.25">
      <c r="A103" s="1">
        <v>1203</v>
      </c>
      <c r="B103" s="1" t="s">
        <v>4</v>
      </c>
      <c r="C103" s="1">
        <v>0</v>
      </c>
      <c r="D103" s="1">
        <v>135</v>
      </c>
      <c r="F103" s="1">
        <v>1204</v>
      </c>
      <c r="G103" s="1" t="s">
        <v>5</v>
      </c>
      <c r="H103" s="1">
        <v>1</v>
      </c>
      <c r="I103" s="1">
        <v>420</v>
      </c>
      <c r="J103" s="4"/>
      <c r="V103" s="8">
        <v>1483</v>
      </c>
      <c r="W103" s="8" t="s">
        <v>4</v>
      </c>
      <c r="X103" s="8">
        <v>0</v>
      </c>
      <c r="Y103" s="8">
        <v>145</v>
      </c>
      <c r="AA103" s="8">
        <v>1496</v>
      </c>
      <c r="AB103" s="8" t="s">
        <v>5</v>
      </c>
      <c r="AC103" s="8">
        <v>0</v>
      </c>
      <c r="AD103" s="8">
        <v>140</v>
      </c>
    </row>
    <row r="104" spans="1:30" x14ac:dyDescent="0.25">
      <c r="A104" s="1">
        <v>1205</v>
      </c>
      <c r="B104" s="1" t="s">
        <v>4</v>
      </c>
      <c r="C104" s="1">
        <v>1</v>
      </c>
      <c r="D104" s="1">
        <v>470</v>
      </c>
      <c r="F104" s="1">
        <v>1206</v>
      </c>
      <c r="G104" s="1" t="s">
        <v>5</v>
      </c>
      <c r="H104" s="1">
        <v>0</v>
      </c>
      <c r="I104" s="1">
        <v>140</v>
      </c>
      <c r="J104" s="4"/>
      <c r="V104" s="8">
        <v>1489</v>
      </c>
      <c r="W104" s="8" t="s">
        <v>4</v>
      </c>
      <c r="X104" s="8">
        <v>0</v>
      </c>
      <c r="Y104" s="8">
        <v>175</v>
      </c>
      <c r="AA104" s="8">
        <v>1506</v>
      </c>
      <c r="AB104" s="8" t="s">
        <v>5</v>
      </c>
      <c r="AC104" s="8">
        <v>0</v>
      </c>
      <c r="AD104" s="8">
        <v>155</v>
      </c>
    </row>
    <row r="105" spans="1:30" x14ac:dyDescent="0.25">
      <c r="A105" s="1">
        <v>1207</v>
      </c>
      <c r="B105" s="1" t="s">
        <v>4</v>
      </c>
      <c r="C105" s="1">
        <v>1</v>
      </c>
      <c r="D105" s="1">
        <v>350</v>
      </c>
      <c r="F105" s="1">
        <v>1208</v>
      </c>
      <c r="G105" s="1" t="s">
        <v>5</v>
      </c>
      <c r="H105" s="1">
        <v>0</v>
      </c>
      <c r="I105" s="1">
        <v>315</v>
      </c>
      <c r="J105" s="4"/>
      <c r="V105" s="8">
        <v>1493</v>
      </c>
      <c r="W105" s="8" t="s">
        <v>4</v>
      </c>
      <c r="X105" s="8">
        <v>0</v>
      </c>
      <c r="Y105" s="8">
        <v>135</v>
      </c>
      <c r="AA105" s="8">
        <v>1516</v>
      </c>
      <c r="AB105" s="8" t="s">
        <v>5</v>
      </c>
      <c r="AC105" s="8">
        <v>0</v>
      </c>
      <c r="AD105" s="8">
        <v>135</v>
      </c>
    </row>
    <row r="106" spans="1:30" x14ac:dyDescent="0.25">
      <c r="A106" s="1">
        <v>1209</v>
      </c>
      <c r="B106" s="1" t="s">
        <v>4</v>
      </c>
      <c r="C106" s="1">
        <v>0</v>
      </c>
      <c r="D106" s="1">
        <v>165</v>
      </c>
      <c r="F106" s="1">
        <v>1210</v>
      </c>
      <c r="G106" s="1" t="s">
        <v>5</v>
      </c>
      <c r="H106" s="1">
        <v>1</v>
      </c>
      <c r="I106" s="1">
        <v>560</v>
      </c>
      <c r="J106" s="4"/>
      <c r="V106" s="8">
        <v>1499</v>
      </c>
      <c r="W106" s="8" t="s">
        <v>4</v>
      </c>
      <c r="X106" s="8">
        <v>0</v>
      </c>
      <c r="Y106" s="8">
        <v>185</v>
      </c>
      <c r="AA106" s="8">
        <v>1526</v>
      </c>
      <c r="AB106" s="8" t="s">
        <v>5</v>
      </c>
      <c r="AC106" s="8">
        <v>0</v>
      </c>
      <c r="AD106" s="8">
        <v>160</v>
      </c>
    </row>
    <row r="107" spans="1:30" x14ac:dyDescent="0.25">
      <c r="A107" s="1">
        <v>1212</v>
      </c>
      <c r="B107" s="1" t="s">
        <v>4</v>
      </c>
      <c r="C107" s="1">
        <v>1</v>
      </c>
      <c r="D107" s="1">
        <v>520</v>
      </c>
      <c r="F107" s="1">
        <v>1211</v>
      </c>
      <c r="G107" s="1" t="s">
        <v>5</v>
      </c>
      <c r="H107" s="1">
        <v>1</v>
      </c>
      <c r="I107" s="1">
        <v>225</v>
      </c>
      <c r="J107" s="4"/>
      <c r="V107" s="8">
        <v>1503</v>
      </c>
      <c r="W107" s="8" t="s">
        <v>4</v>
      </c>
      <c r="X107" s="8">
        <v>0</v>
      </c>
      <c r="Y107" s="8">
        <v>130</v>
      </c>
      <c r="AA107" s="8">
        <v>1536</v>
      </c>
      <c r="AB107" s="8" t="s">
        <v>5</v>
      </c>
      <c r="AC107" s="8">
        <v>0</v>
      </c>
      <c r="AD107" s="8">
        <v>150</v>
      </c>
    </row>
    <row r="108" spans="1:30" x14ac:dyDescent="0.25">
      <c r="A108" s="1">
        <v>1213</v>
      </c>
      <c r="B108" s="1" t="s">
        <v>4</v>
      </c>
      <c r="C108" s="1">
        <v>0</v>
      </c>
      <c r="D108" s="1">
        <v>115</v>
      </c>
      <c r="F108" s="1">
        <v>1214</v>
      </c>
      <c r="G108" s="1" t="s">
        <v>5</v>
      </c>
      <c r="H108" s="1">
        <v>0</v>
      </c>
      <c r="I108" s="1">
        <v>400</v>
      </c>
      <c r="J108" s="4"/>
      <c r="V108" s="8">
        <v>1509</v>
      </c>
      <c r="W108" s="8" t="s">
        <v>4</v>
      </c>
      <c r="X108" s="8">
        <v>0</v>
      </c>
      <c r="Y108" s="8">
        <v>180</v>
      </c>
      <c r="AA108" s="8">
        <v>1546</v>
      </c>
      <c r="AB108" s="8" t="s">
        <v>5</v>
      </c>
      <c r="AC108" s="8">
        <v>0</v>
      </c>
      <c r="AD108" s="8">
        <v>140</v>
      </c>
    </row>
    <row r="109" spans="1:30" x14ac:dyDescent="0.25">
      <c r="A109" s="1">
        <v>1215</v>
      </c>
      <c r="B109" s="1" t="s">
        <v>4</v>
      </c>
      <c r="C109" s="1">
        <v>1</v>
      </c>
      <c r="D109" s="1">
        <v>440</v>
      </c>
      <c r="F109" s="1">
        <v>1216</v>
      </c>
      <c r="G109" s="1" t="s">
        <v>5</v>
      </c>
      <c r="H109" s="1">
        <v>0</v>
      </c>
      <c r="I109" s="1">
        <v>150</v>
      </c>
      <c r="J109" s="4"/>
      <c r="V109" s="8">
        <v>1513</v>
      </c>
      <c r="W109" s="8" t="s">
        <v>4</v>
      </c>
      <c r="X109" s="8">
        <v>0</v>
      </c>
      <c r="Y109" s="8">
        <v>145</v>
      </c>
      <c r="AA109" s="8">
        <v>1556</v>
      </c>
      <c r="AB109" s="8" t="s">
        <v>5</v>
      </c>
      <c r="AC109" s="8">
        <v>0</v>
      </c>
      <c r="AD109" s="8">
        <v>130</v>
      </c>
    </row>
    <row r="110" spans="1:30" x14ac:dyDescent="0.25">
      <c r="A110" s="1">
        <v>1218</v>
      </c>
      <c r="B110" s="1" t="s">
        <v>4</v>
      </c>
      <c r="C110" s="1">
        <v>1</v>
      </c>
      <c r="D110" s="1">
        <v>295</v>
      </c>
      <c r="F110" s="1">
        <v>1217</v>
      </c>
      <c r="G110" s="1" t="s">
        <v>5</v>
      </c>
      <c r="H110" s="1">
        <v>1</v>
      </c>
      <c r="I110" s="1">
        <v>540</v>
      </c>
      <c r="J110" s="4"/>
      <c r="V110" s="8">
        <v>1519</v>
      </c>
      <c r="W110" s="8" t="s">
        <v>4</v>
      </c>
      <c r="X110" s="8">
        <v>0</v>
      </c>
      <c r="Y110" s="8">
        <v>190</v>
      </c>
      <c r="AA110" s="8">
        <v>1566</v>
      </c>
      <c r="AB110" s="8" t="s">
        <v>5</v>
      </c>
      <c r="AC110" s="8">
        <v>0</v>
      </c>
      <c r="AD110" s="8">
        <v>155</v>
      </c>
    </row>
    <row r="111" spans="1:30" x14ac:dyDescent="0.25">
      <c r="A111" s="1">
        <v>1219</v>
      </c>
      <c r="B111" s="1" t="s">
        <v>4</v>
      </c>
      <c r="C111" s="1">
        <v>0</v>
      </c>
      <c r="D111" s="1">
        <v>180</v>
      </c>
      <c r="F111" s="1">
        <v>1220</v>
      </c>
      <c r="G111" s="1" t="s">
        <v>5</v>
      </c>
      <c r="H111" s="1">
        <v>1</v>
      </c>
      <c r="I111" s="1">
        <v>480</v>
      </c>
      <c r="J111" s="4"/>
      <c r="V111" s="8">
        <v>1523</v>
      </c>
      <c r="W111" s="8" t="s">
        <v>4</v>
      </c>
      <c r="X111" s="8">
        <v>0</v>
      </c>
      <c r="Y111" s="8">
        <v>125</v>
      </c>
      <c r="AA111" s="8">
        <v>1576</v>
      </c>
      <c r="AB111" s="8" t="s">
        <v>5</v>
      </c>
      <c r="AC111" s="8">
        <v>0</v>
      </c>
      <c r="AD111" s="8">
        <v>145</v>
      </c>
    </row>
    <row r="112" spans="1:30" x14ac:dyDescent="0.25">
      <c r="A112" s="1">
        <v>1222</v>
      </c>
      <c r="B112" s="1" t="s">
        <v>4</v>
      </c>
      <c r="C112" s="1">
        <v>1</v>
      </c>
      <c r="D112" s="1">
        <v>510</v>
      </c>
      <c r="F112" s="1">
        <v>1221</v>
      </c>
      <c r="G112" s="1" t="s">
        <v>5</v>
      </c>
      <c r="H112" s="1">
        <v>1</v>
      </c>
      <c r="I112" s="1">
        <v>240</v>
      </c>
      <c r="J112" s="4"/>
      <c r="V112" s="8">
        <v>1529</v>
      </c>
      <c r="W112" s="8" t="s">
        <v>4</v>
      </c>
      <c r="X112" s="8">
        <v>0</v>
      </c>
      <c r="Y112" s="8">
        <v>185</v>
      </c>
      <c r="AA112" s="8">
        <v>1586</v>
      </c>
      <c r="AB112" s="8" t="s">
        <v>5</v>
      </c>
      <c r="AC112" s="8">
        <v>0</v>
      </c>
      <c r="AD112" s="8">
        <v>130</v>
      </c>
    </row>
    <row r="113" spans="1:30" x14ac:dyDescent="0.25">
      <c r="A113" s="1">
        <v>1223</v>
      </c>
      <c r="B113" s="1" t="s">
        <v>4</v>
      </c>
      <c r="C113" s="1">
        <v>0</v>
      </c>
      <c r="D113" s="1">
        <v>130</v>
      </c>
      <c r="F113" s="1">
        <v>1224</v>
      </c>
      <c r="G113" s="1" t="s">
        <v>5</v>
      </c>
      <c r="H113" s="1">
        <v>0</v>
      </c>
      <c r="I113" s="1">
        <v>430</v>
      </c>
      <c r="J113" s="4"/>
      <c r="V113" s="8">
        <v>1533</v>
      </c>
      <c r="W113" s="8" t="s">
        <v>4</v>
      </c>
      <c r="X113" s="8">
        <v>0</v>
      </c>
      <c r="Y113" s="8">
        <v>140</v>
      </c>
      <c r="AA113" s="8">
        <v>1596</v>
      </c>
      <c r="AB113" s="8" t="s">
        <v>5</v>
      </c>
      <c r="AC113" s="8">
        <v>0</v>
      </c>
      <c r="AD113" s="8">
        <v>155</v>
      </c>
    </row>
    <row r="114" spans="1:30" x14ac:dyDescent="0.25">
      <c r="A114" s="1">
        <v>1225</v>
      </c>
      <c r="B114" s="1" t="s">
        <v>4</v>
      </c>
      <c r="C114" s="1">
        <v>1</v>
      </c>
      <c r="D114" s="1">
        <v>360</v>
      </c>
      <c r="F114" s="1">
        <v>1226</v>
      </c>
      <c r="G114" s="1" t="s">
        <v>5</v>
      </c>
      <c r="H114" s="1">
        <v>0</v>
      </c>
      <c r="I114" s="1">
        <v>125</v>
      </c>
      <c r="J114" s="4"/>
      <c r="V114" s="8">
        <v>1539</v>
      </c>
      <c r="W114" s="8" t="s">
        <v>4</v>
      </c>
      <c r="X114" s="8">
        <v>0</v>
      </c>
      <c r="Y114" s="8">
        <v>175</v>
      </c>
      <c r="AA114" s="8">
        <v>1606</v>
      </c>
      <c r="AB114" s="8" t="s">
        <v>5</v>
      </c>
      <c r="AC114" s="8">
        <v>0</v>
      </c>
      <c r="AD114" s="8">
        <v>150</v>
      </c>
    </row>
    <row r="115" spans="1:30" x14ac:dyDescent="0.25">
      <c r="A115" s="1">
        <v>1227</v>
      </c>
      <c r="B115" s="1" t="s">
        <v>4</v>
      </c>
      <c r="C115" s="1">
        <v>1</v>
      </c>
      <c r="D115" s="1">
        <v>600</v>
      </c>
      <c r="F115" s="1">
        <v>1228</v>
      </c>
      <c r="G115" s="1" t="s">
        <v>5</v>
      </c>
      <c r="H115" s="1">
        <v>1</v>
      </c>
      <c r="I115" s="1">
        <v>255</v>
      </c>
      <c r="J115" s="4"/>
      <c r="V115" s="8">
        <v>1543</v>
      </c>
      <c r="W115" s="8" t="s">
        <v>4</v>
      </c>
      <c r="X115" s="8">
        <v>0</v>
      </c>
      <c r="Y115" s="8">
        <v>135</v>
      </c>
      <c r="AA115" s="8">
        <v>1616</v>
      </c>
      <c r="AB115" s="8" t="s">
        <v>5</v>
      </c>
      <c r="AC115" s="8">
        <v>0</v>
      </c>
      <c r="AD115" s="8">
        <v>130</v>
      </c>
    </row>
    <row r="116" spans="1:30" x14ac:dyDescent="0.25">
      <c r="A116" s="1">
        <v>1229</v>
      </c>
      <c r="B116" s="1" t="s">
        <v>4</v>
      </c>
      <c r="C116" s="1">
        <v>0</v>
      </c>
      <c r="D116" s="1">
        <v>175</v>
      </c>
      <c r="F116" s="1">
        <v>1230</v>
      </c>
      <c r="G116" s="1" t="s">
        <v>5</v>
      </c>
      <c r="H116" s="1">
        <v>1</v>
      </c>
      <c r="I116" s="1">
        <v>530</v>
      </c>
      <c r="J116" s="4"/>
      <c r="V116" s="8">
        <v>1549</v>
      </c>
      <c r="W116" s="8" t="s">
        <v>4</v>
      </c>
      <c r="X116" s="8">
        <v>0</v>
      </c>
      <c r="Y116" s="8">
        <v>180</v>
      </c>
      <c r="AA116" s="8">
        <v>1626</v>
      </c>
      <c r="AB116" s="8" t="s">
        <v>5</v>
      </c>
      <c r="AC116" s="8">
        <v>0</v>
      </c>
      <c r="AD116" s="8">
        <v>155</v>
      </c>
    </row>
    <row r="117" spans="1:30" x14ac:dyDescent="0.25">
      <c r="A117" s="1">
        <v>1232</v>
      </c>
      <c r="B117" s="1" t="s">
        <v>4</v>
      </c>
      <c r="C117" s="1">
        <v>1</v>
      </c>
      <c r="D117" s="1">
        <v>490</v>
      </c>
      <c r="F117" s="1">
        <v>1231</v>
      </c>
      <c r="G117" s="1" t="s">
        <v>5</v>
      </c>
      <c r="H117" s="1">
        <v>1</v>
      </c>
      <c r="I117" s="1">
        <v>210</v>
      </c>
      <c r="J117" s="4"/>
      <c r="V117" s="8">
        <v>1553</v>
      </c>
      <c r="W117" s="8" t="s">
        <v>4</v>
      </c>
      <c r="X117" s="8">
        <v>0</v>
      </c>
      <c r="Y117" s="8">
        <v>150</v>
      </c>
      <c r="AA117" s="8">
        <v>1636</v>
      </c>
      <c r="AB117" s="8" t="s">
        <v>5</v>
      </c>
      <c r="AC117" s="8">
        <v>0</v>
      </c>
      <c r="AD117" s="8">
        <v>150</v>
      </c>
    </row>
    <row r="118" spans="1:30" x14ac:dyDescent="0.25">
      <c r="A118" s="1">
        <v>1233</v>
      </c>
      <c r="B118" s="1" t="s">
        <v>4</v>
      </c>
      <c r="C118" s="1">
        <v>0</v>
      </c>
      <c r="D118" s="1">
        <v>145</v>
      </c>
      <c r="F118" s="1">
        <v>1234</v>
      </c>
      <c r="G118" s="1" t="s">
        <v>5</v>
      </c>
      <c r="H118" s="1">
        <v>0</v>
      </c>
      <c r="I118" s="1">
        <v>450</v>
      </c>
      <c r="J118" s="4"/>
      <c r="V118" s="8">
        <v>1559</v>
      </c>
      <c r="W118" s="8" t="s">
        <v>4</v>
      </c>
      <c r="X118" s="8">
        <v>0</v>
      </c>
      <c r="Y118" s="8">
        <v>185</v>
      </c>
      <c r="AA118" s="8">
        <v>1646</v>
      </c>
      <c r="AB118" s="8" t="s">
        <v>5</v>
      </c>
      <c r="AC118" s="8">
        <v>0</v>
      </c>
      <c r="AD118" s="8">
        <v>130</v>
      </c>
    </row>
    <row r="119" spans="1:30" x14ac:dyDescent="0.25">
      <c r="A119" s="1">
        <v>1235</v>
      </c>
      <c r="B119" s="1" t="s">
        <v>4</v>
      </c>
      <c r="C119" s="1">
        <v>1</v>
      </c>
      <c r="D119" s="1">
        <v>380</v>
      </c>
      <c r="F119" s="1">
        <v>1236</v>
      </c>
      <c r="G119" s="1" t="s">
        <v>5</v>
      </c>
      <c r="H119" s="1">
        <v>0</v>
      </c>
      <c r="I119" s="1">
        <v>135</v>
      </c>
      <c r="J119" s="4"/>
      <c r="V119" s="8">
        <v>1563</v>
      </c>
      <c r="W119" s="8" t="s">
        <v>4</v>
      </c>
      <c r="X119" s="8">
        <v>0</v>
      </c>
      <c r="Y119" s="8">
        <v>140</v>
      </c>
      <c r="AA119" s="8">
        <v>1656</v>
      </c>
      <c r="AB119" s="8" t="s">
        <v>5</v>
      </c>
      <c r="AC119" s="8">
        <v>0</v>
      </c>
      <c r="AD119" s="8">
        <v>140</v>
      </c>
    </row>
    <row r="120" spans="1:30" x14ac:dyDescent="0.25">
      <c r="A120" s="1">
        <v>1238</v>
      </c>
      <c r="B120" s="1" t="s">
        <v>4</v>
      </c>
      <c r="C120" s="1">
        <v>1</v>
      </c>
      <c r="D120" s="1">
        <v>270</v>
      </c>
      <c r="F120" s="1">
        <v>1237</v>
      </c>
      <c r="G120" s="1" t="s">
        <v>5</v>
      </c>
      <c r="H120" s="1">
        <v>1</v>
      </c>
      <c r="I120" s="1">
        <v>570</v>
      </c>
      <c r="J120" s="4"/>
      <c r="V120" s="8">
        <v>1569</v>
      </c>
      <c r="W120" s="8" t="s">
        <v>4</v>
      </c>
      <c r="X120" s="8">
        <v>0</v>
      </c>
      <c r="Y120" s="8">
        <v>175</v>
      </c>
      <c r="AA120" s="8">
        <v>1664</v>
      </c>
      <c r="AB120" s="8" t="s">
        <v>5</v>
      </c>
      <c r="AC120" s="8">
        <v>0</v>
      </c>
      <c r="AD120" s="8">
        <v>490</v>
      </c>
    </row>
    <row r="121" spans="1:30" x14ac:dyDescent="0.25">
      <c r="A121" s="1">
        <v>1239</v>
      </c>
      <c r="B121" s="1" t="s">
        <v>4</v>
      </c>
      <c r="C121" s="1">
        <v>0</v>
      </c>
      <c r="D121" s="1">
        <v>195</v>
      </c>
      <c r="F121" s="1">
        <v>1240</v>
      </c>
      <c r="G121" s="1" t="s">
        <v>5</v>
      </c>
      <c r="H121" s="1">
        <v>1</v>
      </c>
      <c r="I121" s="1">
        <v>500</v>
      </c>
      <c r="J121" s="4"/>
      <c r="V121" s="8">
        <v>1573</v>
      </c>
      <c r="W121" s="8" t="s">
        <v>4</v>
      </c>
      <c r="X121" s="8">
        <v>0</v>
      </c>
      <c r="Y121" s="8">
        <v>135</v>
      </c>
      <c r="AA121" s="8">
        <v>1666</v>
      </c>
      <c r="AB121" s="8" t="s">
        <v>5</v>
      </c>
      <c r="AC121" s="8">
        <v>0</v>
      </c>
      <c r="AD121" s="8">
        <v>155</v>
      </c>
    </row>
    <row r="122" spans="1:30" x14ac:dyDescent="0.25">
      <c r="A122" s="1">
        <v>1242</v>
      </c>
      <c r="B122" s="1" t="s">
        <v>4</v>
      </c>
      <c r="C122" s="1">
        <v>1</v>
      </c>
      <c r="D122" s="1">
        <v>550</v>
      </c>
      <c r="F122" s="1">
        <v>1241</v>
      </c>
      <c r="G122" s="1" t="s">
        <v>5</v>
      </c>
      <c r="H122" s="1">
        <v>0</v>
      </c>
      <c r="I122" s="1">
        <v>230</v>
      </c>
      <c r="J122" s="4"/>
      <c r="V122" s="8">
        <v>1579</v>
      </c>
      <c r="W122" s="8" t="s">
        <v>4</v>
      </c>
      <c r="X122" s="8">
        <v>0</v>
      </c>
      <c r="Y122" s="8">
        <v>190</v>
      </c>
      <c r="AA122" s="8">
        <v>1676</v>
      </c>
      <c r="AB122" s="8" t="s">
        <v>5</v>
      </c>
      <c r="AC122" s="8">
        <v>0</v>
      </c>
      <c r="AD122" s="8">
        <v>130</v>
      </c>
    </row>
    <row r="123" spans="1:30" x14ac:dyDescent="0.25">
      <c r="A123" s="1">
        <v>1243</v>
      </c>
      <c r="B123" s="1" t="s">
        <v>4</v>
      </c>
      <c r="C123" s="1">
        <v>0</v>
      </c>
      <c r="D123" s="1">
        <v>120</v>
      </c>
      <c r="F123" s="1">
        <v>1244</v>
      </c>
      <c r="G123" s="1" t="s">
        <v>5</v>
      </c>
      <c r="H123" s="1">
        <v>1</v>
      </c>
      <c r="I123" s="1">
        <v>410</v>
      </c>
      <c r="J123" s="4"/>
      <c r="V123" s="8">
        <v>1583</v>
      </c>
      <c r="W123" s="8" t="s">
        <v>4</v>
      </c>
      <c r="X123" s="8">
        <v>0</v>
      </c>
      <c r="Y123" s="8">
        <v>150</v>
      </c>
      <c r="AA123" s="8">
        <v>1686</v>
      </c>
      <c r="AB123" s="8" t="s">
        <v>5</v>
      </c>
      <c r="AC123" s="8">
        <v>0</v>
      </c>
      <c r="AD123" s="8">
        <v>150</v>
      </c>
    </row>
    <row r="124" spans="1:30" x14ac:dyDescent="0.25">
      <c r="A124" s="1">
        <v>1245</v>
      </c>
      <c r="B124" s="1" t="s">
        <v>4</v>
      </c>
      <c r="C124" s="1">
        <v>1</v>
      </c>
      <c r="D124" s="1">
        <v>460</v>
      </c>
      <c r="F124" s="1">
        <v>1246</v>
      </c>
      <c r="G124" s="1" t="s">
        <v>5</v>
      </c>
      <c r="H124" s="1">
        <v>0</v>
      </c>
      <c r="I124" s="1">
        <v>155</v>
      </c>
      <c r="J124" s="4"/>
      <c r="V124" s="8">
        <v>1589</v>
      </c>
      <c r="W124" s="8" t="s">
        <v>4</v>
      </c>
      <c r="X124" s="8">
        <v>0</v>
      </c>
      <c r="Y124" s="8">
        <v>180</v>
      </c>
      <c r="AA124" s="8">
        <v>1696</v>
      </c>
      <c r="AB124" s="8" t="s">
        <v>5</v>
      </c>
      <c r="AC124" s="8">
        <v>0</v>
      </c>
      <c r="AD124" s="8">
        <v>155</v>
      </c>
    </row>
    <row r="125" spans="1:30" x14ac:dyDescent="0.25">
      <c r="A125" s="1">
        <v>1247</v>
      </c>
      <c r="B125" s="1" t="s">
        <v>4</v>
      </c>
      <c r="C125" s="1">
        <v>1</v>
      </c>
      <c r="D125" s="1">
        <v>330</v>
      </c>
      <c r="F125" s="1">
        <v>1248</v>
      </c>
      <c r="G125" s="1" t="s">
        <v>5</v>
      </c>
      <c r="H125" s="1">
        <v>1</v>
      </c>
      <c r="I125" s="1">
        <v>305</v>
      </c>
      <c r="J125" s="4"/>
      <c r="V125" s="8">
        <v>1593</v>
      </c>
      <c r="W125" s="8" t="s">
        <v>4</v>
      </c>
      <c r="X125" s="8">
        <v>0</v>
      </c>
      <c r="Y125" s="8">
        <v>140</v>
      </c>
      <c r="AA125" s="8">
        <v>1706</v>
      </c>
      <c r="AB125" s="8" t="s">
        <v>5</v>
      </c>
      <c r="AC125" s="8">
        <v>0</v>
      </c>
      <c r="AD125" s="8">
        <v>150</v>
      </c>
    </row>
    <row r="126" spans="1:30" x14ac:dyDescent="0.25">
      <c r="A126" s="1">
        <v>1249</v>
      </c>
      <c r="B126" s="1" t="s">
        <v>4</v>
      </c>
      <c r="C126" s="1">
        <v>0</v>
      </c>
      <c r="D126" s="1">
        <v>185</v>
      </c>
      <c r="F126" s="1">
        <v>1250</v>
      </c>
      <c r="G126" s="1" t="s">
        <v>5</v>
      </c>
      <c r="H126" s="1">
        <v>0</v>
      </c>
      <c r="I126" s="1">
        <v>590</v>
      </c>
      <c r="J126" s="4"/>
      <c r="V126" s="8">
        <v>1599</v>
      </c>
      <c r="W126" s="8" t="s">
        <v>4</v>
      </c>
      <c r="X126" s="8">
        <v>0</v>
      </c>
      <c r="Y126" s="8">
        <v>185</v>
      </c>
      <c r="AA126" s="8">
        <v>1716</v>
      </c>
      <c r="AB126" s="8" t="s">
        <v>5</v>
      </c>
      <c r="AC126" s="8">
        <v>0</v>
      </c>
      <c r="AD126" s="8">
        <v>130</v>
      </c>
    </row>
    <row r="127" spans="1:30" x14ac:dyDescent="0.25">
      <c r="A127" s="1">
        <v>1252</v>
      </c>
      <c r="B127" s="1" t="s">
        <v>4</v>
      </c>
      <c r="C127" s="1">
        <v>1</v>
      </c>
      <c r="D127" s="1">
        <v>520</v>
      </c>
      <c r="F127" s="1">
        <v>1251</v>
      </c>
      <c r="G127" s="1" t="s">
        <v>5</v>
      </c>
      <c r="H127" s="1">
        <v>1</v>
      </c>
      <c r="I127" s="1">
        <v>245</v>
      </c>
      <c r="J127" s="4"/>
      <c r="V127" s="8">
        <v>1603</v>
      </c>
      <c r="W127" s="8" t="s">
        <v>4</v>
      </c>
      <c r="X127" s="8">
        <v>0</v>
      </c>
      <c r="Y127" s="8">
        <v>135</v>
      </c>
      <c r="AA127" s="8">
        <v>1726</v>
      </c>
      <c r="AB127" s="8" t="s">
        <v>5</v>
      </c>
      <c r="AC127" s="8">
        <v>0</v>
      </c>
      <c r="AD127" s="8">
        <v>140</v>
      </c>
    </row>
    <row r="128" spans="1:30" x14ac:dyDescent="0.25">
      <c r="A128" s="1">
        <v>1253</v>
      </c>
      <c r="B128" s="1" t="s">
        <v>4</v>
      </c>
      <c r="C128" s="1">
        <v>0</v>
      </c>
      <c r="D128" s="1">
        <v>140</v>
      </c>
      <c r="F128" s="1">
        <v>1254</v>
      </c>
      <c r="G128" s="1" t="s">
        <v>5</v>
      </c>
      <c r="H128" s="1">
        <v>1</v>
      </c>
      <c r="I128" s="1">
        <v>470</v>
      </c>
      <c r="J128" s="4"/>
      <c r="V128" s="8">
        <v>1609</v>
      </c>
      <c r="W128" s="8" t="s">
        <v>4</v>
      </c>
      <c r="X128" s="8">
        <v>0</v>
      </c>
      <c r="Y128" s="8">
        <v>175</v>
      </c>
      <c r="AA128" s="8">
        <v>1736</v>
      </c>
      <c r="AB128" s="8" t="s">
        <v>5</v>
      </c>
      <c r="AC128" s="8">
        <v>0</v>
      </c>
      <c r="AD128" s="8">
        <v>155</v>
      </c>
    </row>
    <row r="129" spans="1:30" x14ac:dyDescent="0.25">
      <c r="A129" s="1">
        <v>1255</v>
      </c>
      <c r="B129" s="1" t="s">
        <v>4</v>
      </c>
      <c r="C129" s="1">
        <v>1</v>
      </c>
      <c r="D129" s="1">
        <v>400</v>
      </c>
      <c r="F129" s="1">
        <v>1256</v>
      </c>
      <c r="G129" s="1" t="s">
        <v>5</v>
      </c>
      <c r="H129" s="1">
        <v>0</v>
      </c>
      <c r="I129" s="1">
        <v>130</v>
      </c>
      <c r="J129" s="4"/>
      <c r="V129" s="8">
        <v>1613</v>
      </c>
      <c r="W129" s="8" t="s">
        <v>4</v>
      </c>
      <c r="X129" s="8">
        <v>0</v>
      </c>
      <c r="Y129" s="8">
        <v>145</v>
      </c>
      <c r="AA129" s="8">
        <v>1746</v>
      </c>
      <c r="AB129" s="8" t="s">
        <v>5</v>
      </c>
      <c r="AC129" s="8">
        <v>0</v>
      </c>
      <c r="AD129" s="8">
        <v>130</v>
      </c>
    </row>
    <row r="130" spans="1:30" x14ac:dyDescent="0.25">
      <c r="A130" s="1">
        <v>1258</v>
      </c>
      <c r="B130" s="1" t="s">
        <v>4</v>
      </c>
      <c r="C130" s="1">
        <v>1</v>
      </c>
      <c r="D130" s="1">
        <v>285</v>
      </c>
      <c r="F130" s="1">
        <v>1257</v>
      </c>
      <c r="G130" s="1" t="s">
        <v>5</v>
      </c>
      <c r="H130" s="1">
        <v>0</v>
      </c>
      <c r="I130" s="1">
        <v>550</v>
      </c>
      <c r="J130" s="4"/>
      <c r="V130" s="8">
        <v>1619</v>
      </c>
      <c r="W130" s="8" t="s">
        <v>4</v>
      </c>
      <c r="X130" s="8">
        <v>0</v>
      </c>
      <c r="Y130" s="8">
        <v>190</v>
      </c>
      <c r="AA130" s="8">
        <v>1756</v>
      </c>
      <c r="AB130" s="8" t="s">
        <v>5</v>
      </c>
      <c r="AC130" s="8">
        <v>0</v>
      </c>
      <c r="AD130" s="8">
        <v>150</v>
      </c>
    </row>
    <row r="131" spans="1:30" x14ac:dyDescent="0.25">
      <c r="A131" s="1">
        <v>1259</v>
      </c>
      <c r="B131" s="1" t="s">
        <v>4</v>
      </c>
      <c r="C131" s="1">
        <v>0</v>
      </c>
      <c r="D131" s="1">
        <v>170</v>
      </c>
      <c r="F131" s="1">
        <v>1260</v>
      </c>
      <c r="G131" s="1" t="s">
        <v>5</v>
      </c>
      <c r="H131" s="1">
        <v>1</v>
      </c>
      <c r="I131" s="1">
        <v>490</v>
      </c>
      <c r="J131" s="4"/>
      <c r="V131" s="8">
        <v>1623</v>
      </c>
      <c r="W131" s="8" t="s">
        <v>4</v>
      </c>
      <c r="X131" s="8">
        <v>0</v>
      </c>
      <c r="Y131" s="8">
        <v>140</v>
      </c>
      <c r="AA131" s="8">
        <v>1766</v>
      </c>
      <c r="AB131" s="8" t="s">
        <v>5</v>
      </c>
      <c r="AC131" s="8">
        <v>0</v>
      </c>
      <c r="AD131" s="8">
        <v>155</v>
      </c>
    </row>
    <row r="132" spans="1:30" x14ac:dyDescent="0.25">
      <c r="A132" s="1">
        <v>1262</v>
      </c>
      <c r="B132" s="1" t="s">
        <v>4</v>
      </c>
      <c r="C132" s="1">
        <v>1</v>
      </c>
      <c r="D132" s="1">
        <v>540</v>
      </c>
      <c r="F132" s="1">
        <v>1261</v>
      </c>
      <c r="G132" s="1" t="s">
        <v>5</v>
      </c>
      <c r="H132" s="1">
        <v>1</v>
      </c>
      <c r="I132" s="1">
        <v>215</v>
      </c>
      <c r="J132" s="4"/>
      <c r="V132" s="8">
        <v>1629</v>
      </c>
      <c r="W132" s="8" t="s">
        <v>4</v>
      </c>
      <c r="X132" s="8">
        <v>0</v>
      </c>
      <c r="Y132" s="8">
        <v>180</v>
      </c>
      <c r="AA132" s="8">
        <v>1776</v>
      </c>
      <c r="AB132" s="8" t="s">
        <v>5</v>
      </c>
      <c r="AC132" s="8">
        <v>0</v>
      </c>
      <c r="AD132" s="8">
        <v>140</v>
      </c>
    </row>
    <row r="133" spans="1:30" x14ac:dyDescent="0.25">
      <c r="A133" s="1">
        <v>1263</v>
      </c>
      <c r="B133" s="1" t="s">
        <v>4</v>
      </c>
      <c r="C133" s="1">
        <v>0</v>
      </c>
      <c r="D133" s="1">
        <v>150</v>
      </c>
      <c r="F133" s="1">
        <v>1264</v>
      </c>
      <c r="G133" s="1" t="s">
        <v>5</v>
      </c>
      <c r="H133" s="1">
        <v>1</v>
      </c>
      <c r="I133" s="1">
        <v>440</v>
      </c>
      <c r="J133" s="4"/>
      <c r="V133" s="8">
        <v>1633</v>
      </c>
      <c r="W133" s="8" t="s">
        <v>4</v>
      </c>
      <c r="X133" s="8">
        <v>0</v>
      </c>
      <c r="Y133" s="8">
        <v>135</v>
      </c>
      <c r="AA133" s="8">
        <v>1786</v>
      </c>
      <c r="AB133" s="8" t="s">
        <v>5</v>
      </c>
      <c r="AC133" s="8">
        <v>0</v>
      </c>
      <c r="AD133" s="8">
        <v>150</v>
      </c>
    </row>
    <row r="134" spans="1:30" x14ac:dyDescent="0.25">
      <c r="A134" s="1">
        <v>1265</v>
      </c>
      <c r="B134" s="1" t="s">
        <v>4</v>
      </c>
      <c r="C134" s="1">
        <v>1</v>
      </c>
      <c r="D134" s="1">
        <v>370</v>
      </c>
      <c r="F134" s="1">
        <v>1266</v>
      </c>
      <c r="G134" s="1" t="s">
        <v>5</v>
      </c>
      <c r="H134" s="1">
        <v>0</v>
      </c>
      <c r="I134" s="1">
        <v>125</v>
      </c>
      <c r="J134" s="4"/>
      <c r="V134" s="8">
        <v>1639</v>
      </c>
      <c r="W134" s="8" t="s">
        <v>4</v>
      </c>
      <c r="X134" s="8">
        <v>0</v>
      </c>
      <c r="Y134" s="8">
        <v>185</v>
      </c>
      <c r="AA134" s="8">
        <v>1796</v>
      </c>
      <c r="AB134" s="8" t="s">
        <v>5</v>
      </c>
      <c r="AC134" s="8">
        <v>0</v>
      </c>
      <c r="AD134" s="8">
        <v>130</v>
      </c>
    </row>
    <row r="135" spans="1:30" x14ac:dyDescent="0.25">
      <c r="A135" s="1">
        <v>1267</v>
      </c>
      <c r="B135" s="1" t="s">
        <v>4</v>
      </c>
      <c r="C135" s="1">
        <v>1</v>
      </c>
      <c r="D135" s="1">
        <v>610</v>
      </c>
      <c r="F135" s="1">
        <v>1268</v>
      </c>
      <c r="G135" s="1" t="s">
        <v>5</v>
      </c>
      <c r="H135" s="1">
        <v>1</v>
      </c>
      <c r="I135" s="1">
        <v>250</v>
      </c>
      <c r="J135" s="4"/>
      <c r="V135" s="8">
        <v>1643</v>
      </c>
      <c r="W135" s="8" t="s">
        <v>4</v>
      </c>
      <c r="X135" s="8">
        <v>0</v>
      </c>
      <c r="Y135" s="8">
        <v>145</v>
      </c>
      <c r="AA135" s="8">
        <v>1806</v>
      </c>
      <c r="AB135" s="8" t="s">
        <v>5</v>
      </c>
      <c r="AC135" s="8">
        <v>0</v>
      </c>
      <c r="AD135" s="8">
        <v>145</v>
      </c>
    </row>
    <row r="136" spans="1:30" x14ac:dyDescent="0.25">
      <c r="A136" s="1">
        <v>1269</v>
      </c>
      <c r="B136" s="1" t="s">
        <v>4</v>
      </c>
      <c r="C136" s="1">
        <v>0</v>
      </c>
      <c r="D136" s="1">
        <v>180</v>
      </c>
      <c r="F136" s="1">
        <v>1270</v>
      </c>
      <c r="G136" s="1" t="s">
        <v>5</v>
      </c>
      <c r="H136" s="1">
        <v>1</v>
      </c>
      <c r="I136" s="1">
        <v>510</v>
      </c>
      <c r="J136" s="4"/>
      <c r="V136" s="8">
        <v>1649</v>
      </c>
      <c r="W136" s="8" t="s">
        <v>4</v>
      </c>
      <c r="X136" s="8">
        <v>0</v>
      </c>
      <c r="Y136" s="8">
        <v>175</v>
      </c>
      <c r="AA136" s="8">
        <v>1816</v>
      </c>
      <c r="AB136" s="8" t="s">
        <v>5</v>
      </c>
      <c r="AC136" s="8">
        <v>0</v>
      </c>
      <c r="AD136" s="8">
        <v>155</v>
      </c>
    </row>
    <row r="137" spans="1:30" x14ac:dyDescent="0.25">
      <c r="A137" s="1">
        <v>1272</v>
      </c>
      <c r="B137" s="1" t="s">
        <v>4</v>
      </c>
      <c r="C137" s="1">
        <v>1</v>
      </c>
      <c r="D137" s="1">
        <v>480</v>
      </c>
      <c r="F137" s="1">
        <v>1271</v>
      </c>
      <c r="G137" s="1" t="s">
        <v>5</v>
      </c>
      <c r="H137" s="1">
        <v>1</v>
      </c>
      <c r="I137" s="1">
        <v>225</v>
      </c>
      <c r="J137" s="4"/>
      <c r="V137" s="8">
        <v>1653</v>
      </c>
      <c r="W137" s="8" t="s">
        <v>4</v>
      </c>
      <c r="X137" s="8">
        <v>0</v>
      </c>
      <c r="Y137" s="8">
        <v>150</v>
      </c>
      <c r="AA137" s="8">
        <v>1826</v>
      </c>
      <c r="AB137" s="8" t="s">
        <v>5</v>
      </c>
      <c r="AC137" s="8">
        <v>0</v>
      </c>
      <c r="AD137" s="8">
        <v>130</v>
      </c>
    </row>
    <row r="138" spans="1:30" x14ac:dyDescent="0.25">
      <c r="A138" s="1">
        <v>1273</v>
      </c>
      <c r="B138" s="1" t="s">
        <v>4</v>
      </c>
      <c r="C138" s="1">
        <v>0</v>
      </c>
      <c r="D138" s="1">
        <v>135</v>
      </c>
      <c r="F138" s="1">
        <v>1274</v>
      </c>
      <c r="G138" s="1" t="s">
        <v>5</v>
      </c>
      <c r="H138" s="1">
        <v>1</v>
      </c>
      <c r="I138" s="1">
        <v>460</v>
      </c>
      <c r="J138" s="4"/>
      <c r="V138" s="8">
        <v>1659</v>
      </c>
      <c r="W138" s="8" t="s">
        <v>4</v>
      </c>
      <c r="X138" s="8">
        <v>0</v>
      </c>
      <c r="Y138" s="8">
        <v>185</v>
      </c>
      <c r="AA138" s="8">
        <v>1836</v>
      </c>
      <c r="AB138" s="8" t="s">
        <v>5</v>
      </c>
      <c r="AC138" s="8">
        <v>0</v>
      </c>
      <c r="AD138" s="8">
        <v>150</v>
      </c>
    </row>
    <row r="139" spans="1:30" x14ac:dyDescent="0.25">
      <c r="A139" s="1">
        <v>1275</v>
      </c>
      <c r="B139" s="1" t="s">
        <v>4</v>
      </c>
      <c r="C139" s="1">
        <v>1</v>
      </c>
      <c r="D139" s="1">
        <v>350</v>
      </c>
      <c r="F139" s="1">
        <v>1276</v>
      </c>
      <c r="G139" s="1" t="s">
        <v>5</v>
      </c>
      <c r="H139" s="1">
        <v>0</v>
      </c>
      <c r="I139" s="1">
        <v>145</v>
      </c>
      <c r="J139" s="4"/>
      <c r="V139" s="8">
        <v>1663</v>
      </c>
      <c r="W139" s="8" t="s">
        <v>4</v>
      </c>
      <c r="X139" s="8">
        <v>0</v>
      </c>
      <c r="Y139" s="8">
        <v>135</v>
      </c>
      <c r="AA139" s="8">
        <v>1846</v>
      </c>
      <c r="AB139" s="8" t="s">
        <v>5</v>
      </c>
      <c r="AC139" s="8">
        <v>0</v>
      </c>
      <c r="AD139" s="8">
        <v>155</v>
      </c>
    </row>
    <row r="140" spans="1:30" x14ac:dyDescent="0.25">
      <c r="A140" s="1">
        <v>1278</v>
      </c>
      <c r="B140" s="1" t="s">
        <v>4</v>
      </c>
      <c r="C140" s="1">
        <v>1</v>
      </c>
      <c r="D140" s="1">
        <v>300</v>
      </c>
      <c r="F140" s="1">
        <v>1277</v>
      </c>
      <c r="G140" s="1" t="s">
        <v>5</v>
      </c>
      <c r="H140" s="1">
        <v>1</v>
      </c>
      <c r="I140" s="1">
        <v>560</v>
      </c>
      <c r="J140" s="4"/>
      <c r="V140" s="8">
        <v>1669</v>
      </c>
      <c r="W140" s="8" t="s">
        <v>4</v>
      </c>
      <c r="X140" s="8">
        <v>0</v>
      </c>
      <c r="Y140" s="8">
        <v>180</v>
      </c>
      <c r="AA140" s="8">
        <v>1856</v>
      </c>
      <c r="AB140" s="8" t="s">
        <v>5</v>
      </c>
      <c r="AC140" s="8">
        <v>0</v>
      </c>
      <c r="AD140" s="8">
        <v>140</v>
      </c>
    </row>
    <row r="141" spans="1:30" x14ac:dyDescent="0.25">
      <c r="A141" s="1">
        <v>1279</v>
      </c>
      <c r="B141" s="1" t="s">
        <v>4</v>
      </c>
      <c r="C141" s="1">
        <v>0</v>
      </c>
      <c r="D141" s="1">
        <v>190</v>
      </c>
      <c r="F141" s="1">
        <v>1280</v>
      </c>
      <c r="G141" s="1" t="s">
        <v>5</v>
      </c>
      <c r="H141" s="1">
        <v>1</v>
      </c>
      <c r="I141" s="1">
        <v>500</v>
      </c>
      <c r="J141" s="4"/>
      <c r="V141" s="8">
        <v>1673</v>
      </c>
      <c r="W141" s="8" t="s">
        <v>4</v>
      </c>
      <c r="X141" s="8">
        <v>0</v>
      </c>
      <c r="Y141" s="8">
        <v>140</v>
      </c>
      <c r="AA141" s="8">
        <v>1866</v>
      </c>
      <c r="AB141" s="8" t="s">
        <v>5</v>
      </c>
      <c r="AC141" s="8">
        <v>0</v>
      </c>
      <c r="AD141" s="8">
        <v>150</v>
      </c>
    </row>
    <row r="142" spans="1:30" x14ac:dyDescent="0.25">
      <c r="A142" s="1">
        <v>1282</v>
      </c>
      <c r="B142" s="1" t="s">
        <v>4</v>
      </c>
      <c r="C142" s="1">
        <v>1</v>
      </c>
      <c r="D142" s="1">
        <v>530</v>
      </c>
      <c r="F142" s="1">
        <v>1281</v>
      </c>
      <c r="G142" s="1" t="s">
        <v>5</v>
      </c>
      <c r="H142" s="1">
        <v>0</v>
      </c>
      <c r="I142" s="1">
        <v>235</v>
      </c>
      <c r="J142" s="4"/>
      <c r="V142" s="8">
        <v>1679</v>
      </c>
      <c r="W142" s="8" t="s">
        <v>4</v>
      </c>
      <c r="X142" s="8">
        <v>0</v>
      </c>
      <c r="Y142" s="8">
        <v>190</v>
      </c>
      <c r="AA142" s="8">
        <v>1876</v>
      </c>
      <c r="AB142" s="8" t="s">
        <v>5</v>
      </c>
      <c r="AC142" s="8">
        <v>0</v>
      </c>
      <c r="AD142" s="8">
        <v>130</v>
      </c>
    </row>
    <row r="143" spans="1:30" x14ac:dyDescent="0.25">
      <c r="A143" s="1">
        <v>1283</v>
      </c>
      <c r="B143" s="1" t="s">
        <v>4</v>
      </c>
      <c r="C143" s="1">
        <v>0</v>
      </c>
      <c r="D143" s="1">
        <v>115</v>
      </c>
      <c r="F143" s="1">
        <v>1284</v>
      </c>
      <c r="G143" s="1" t="s">
        <v>5</v>
      </c>
      <c r="H143" s="1">
        <v>0</v>
      </c>
      <c r="I143" s="1">
        <v>420</v>
      </c>
      <c r="J143" s="4"/>
      <c r="V143" s="8">
        <v>1683</v>
      </c>
      <c r="W143" s="8" t="s">
        <v>4</v>
      </c>
      <c r="X143" s="8">
        <v>0</v>
      </c>
      <c r="Y143" s="8">
        <v>145</v>
      </c>
      <c r="AA143" s="8">
        <v>1886</v>
      </c>
      <c r="AB143" s="8" t="s">
        <v>5</v>
      </c>
      <c r="AC143" s="8">
        <v>0</v>
      </c>
      <c r="AD143" s="8">
        <v>145</v>
      </c>
    </row>
    <row r="144" spans="1:30" x14ac:dyDescent="0.25">
      <c r="A144" s="1">
        <v>1285</v>
      </c>
      <c r="B144" s="1" t="s">
        <v>4</v>
      </c>
      <c r="C144" s="1">
        <v>1</v>
      </c>
      <c r="D144" s="1">
        <v>450</v>
      </c>
      <c r="F144" s="1">
        <v>1286</v>
      </c>
      <c r="G144" s="1" t="s">
        <v>5</v>
      </c>
      <c r="H144" s="1">
        <v>0</v>
      </c>
      <c r="I144" s="1">
        <v>160</v>
      </c>
      <c r="J144" s="4"/>
      <c r="V144" s="8">
        <v>1689</v>
      </c>
      <c r="W144" s="8" t="s">
        <v>4</v>
      </c>
      <c r="X144" s="8">
        <v>0</v>
      </c>
      <c r="Y144" s="8">
        <v>175</v>
      </c>
      <c r="AA144" s="8">
        <v>1896</v>
      </c>
      <c r="AB144" s="8" t="s">
        <v>5</v>
      </c>
      <c r="AC144" s="8">
        <v>0</v>
      </c>
      <c r="AD144" s="8">
        <v>155</v>
      </c>
    </row>
    <row r="145" spans="1:30" x14ac:dyDescent="0.25">
      <c r="A145" s="1">
        <v>1287</v>
      </c>
      <c r="B145" s="1" t="s">
        <v>4</v>
      </c>
      <c r="C145" s="1">
        <v>1</v>
      </c>
      <c r="D145" s="1">
        <v>390</v>
      </c>
      <c r="F145" s="1">
        <v>1288</v>
      </c>
      <c r="G145" s="1" t="s">
        <v>5</v>
      </c>
      <c r="H145" s="1">
        <v>1</v>
      </c>
      <c r="I145" s="1">
        <v>310</v>
      </c>
      <c r="J145" s="4"/>
      <c r="V145" s="8">
        <v>1693</v>
      </c>
      <c r="W145" s="8" t="s">
        <v>4</v>
      </c>
      <c r="X145" s="8">
        <v>0</v>
      </c>
      <c r="Y145" s="8">
        <v>140</v>
      </c>
      <c r="AA145" s="8">
        <v>1906</v>
      </c>
      <c r="AB145" s="8" t="s">
        <v>5</v>
      </c>
      <c r="AC145" s="8">
        <v>0</v>
      </c>
      <c r="AD145" s="8">
        <v>130</v>
      </c>
    </row>
    <row r="146" spans="1:30" x14ac:dyDescent="0.25">
      <c r="A146" s="1">
        <v>1289</v>
      </c>
      <c r="B146" s="1" t="s">
        <v>4</v>
      </c>
      <c r="C146" s="1">
        <v>0</v>
      </c>
      <c r="D146" s="1">
        <v>175</v>
      </c>
      <c r="F146" s="1">
        <v>1290</v>
      </c>
      <c r="G146" s="1" t="s">
        <v>5</v>
      </c>
      <c r="H146" s="1">
        <v>1</v>
      </c>
      <c r="I146" s="1">
        <v>570</v>
      </c>
      <c r="J146" s="4"/>
      <c r="V146" s="8">
        <v>1699</v>
      </c>
      <c r="W146" s="8" t="s">
        <v>4</v>
      </c>
      <c r="X146" s="8">
        <v>0</v>
      </c>
      <c r="Y146" s="8">
        <v>185</v>
      </c>
      <c r="AA146" s="8">
        <v>1916</v>
      </c>
      <c r="AB146" s="8" t="s">
        <v>5</v>
      </c>
      <c r="AC146" s="8">
        <v>0</v>
      </c>
      <c r="AD146" s="8">
        <v>150</v>
      </c>
    </row>
    <row r="147" spans="1:30" x14ac:dyDescent="0.25">
      <c r="A147" s="1">
        <v>1292</v>
      </c>
      <c r="B147" s="1" t="s">
        <v>4</v>
      </c>
      <c r="C147" s="1">
        <v>1</v>
      </c>
      <c r="D147" s="1">
        <v>490</v>
      </c>
      <c r="F147" s="1">
        <v>1291</v>
      </c>
      <c r="G147" s="1" t="s">
        <v>5</v>
      </c>
      <c r="H147" s="1">
        <v>1</v>
      </c>
      <c r="I147" s="1">
        <v>220</v>
      </c>
      <c r="J147" s="4"/>
      <c r="V147" s="8">
        <v>1703</v>
      </c>
      <c r="W147" s="8" t="s">
        <v>4</v>
      </c>
      <c r="X147" s="8">
        <v>0</v>
      </c>
      <c r="Y147" s="8">
        <v>135</v>
      </c>
      <c r="AA147" s="8">
        <v>1926</v>
      </c>
      <c r="AB147" s="8" t="s">
        <v>5</v>
      </c>
      <c r="AC147" s="8">
        <v>0</v>
      </c>
      <c r="AD147" s="8">
        <v>155</v>
      </c>
    </row>
    <row r="148" spans="1:30" x14ac:dyDescent="0.25">
      <c r="A148" s="1">
        <v>1293</v>
      </c>
      <c r="B148" s="1" t="s">
        <v>4</v>
      </c>
      <c r="C148" s="1">
        <v>0</v>
      </c>
      <c r="D148" s="1">
        <v>140</v>
      </c>
      <c r="F148" s="1">
        <v>1294</v>
      </c>
      <c r="G148" s="1" t="s">
        <v>5</v>
      </c>
      <c r="H148" s="1">
        <v>1</v>
      </c>
      <c r="I148" s="1">
        <v>430</v>
      </c>
      <c r="J148" s="4"/>
      <c r="V148" s="8">
        <v>1709</v>
      </c>
      <c r="W148" s="8" t="s">
        <v>4</v>
      </c>
      <c r="X148" s="8">
        <v>0</v>
      </c>
      <c r="Y148" s="8">
        <v>180</v>
      </c>
      <c r="AA148" s="8">
        <v>1936</v>
      </c>
      <c r="AB148" s="8" t="s">
        <v>5</v>
      </c>
      <c r="AC148" s="8">
        <v>0</v>
      </c>
      <c r="AD148" s="8">
        <v>140</v>
      </c>
    </row>
    <row r="149" spans="1:30" x14ac:dyDescent="0.25">
      <c r="A149" s="1">
        <v>1295</v>
      </c>
      <c r="B149" s="1" t="s">
        <v>4</v>
      </c>
      <c r="C149" s="1">
        <v>1</v>
      </c>
      <c r="D149" s="1">
        <v>410</v>
      </c>
      <c r="F149" s="1">
        <v>1296</v>
      </c>
      <c r="G149" s="1" t="s">
        <v>5</v>
      </c>
      <c r="H149" s="1">
        <v>0</v>
      </c>
      <c r="I149" s="1">
        <v>130</v>
      </c>
      <c r="J149" s="4"/>
      <c r="V149" s="8">
        <v>1713</v>
      </c>
      <c r="W149" s="8" t="s">
        <v>4</v>
      </c>
      <c r="X149" s="8">
        <v>0</v>
      </c>
      <c r="Y149" s="8">
        <v>145</v>
      </c>
      <c r="AA149" s="8">
        <v>1946</v>
      </c>
      <c r="AB149" s="8" t="s">
        <v>5</v>
      </c>
      <c r="AC149" s="8">
        <v>0</v>
      </c>
      <c r="AD149" s="8">
        <v>150</v>
      </c>
    </row>
    <row r="150" spans="1:30" x14ac:dyDescent="0.25">
      <c r="A150" s="1">
        <v>1298</v>
      </c>
      <c r="B150" s="1" t="s">
        <v>4</v>
      </c>
      <c r="C150" s="1">
        <v>1</v>
      </c>
      <c r="D150" s="1">
        <v>275</v>
      </c>
      <c r="F150" s="1">
        <v>1297</v>
      </c>
      <c r="G150" s="1" t="s">
        <v>5</v>
      </c>
      <c r="H150" s="1">
        <v>1</v>
      </c>
      <c r="I150" s="1">
        <v>540</v>
      </c>
      <c r="J150" s="4"/>
      <c r="V150" s="8">
        <v>1719</v>
      </c>
      <c r="W150" s="8" t="s">
        <v>4</v>
      </c>
      <c r="X150" s="8">
        <v>0</v>
      </c>
      <c r="Y150" s="8">
        <v>175</v>
      </c>
      <c r="AA150" s="8">
        <v>1951</v>
      </c>
      <c r="AB150" s="8" t="s">
        <v>5</v>
      </c>
      <c r="AC150" s="8">
        <v>0</v>
      </c>
      <c r="AD150" s="8">
        <v>225</v>
      </c>
    </row>
    <row r="151" spans="1:30" x14ac:dyDescent="0.25">
      <c r="A151" s="1">
        <v>1299</v>
      </c>
      <c r="B151" s="1" t="s">
        <v>4</v>
      </c>
      <c r="C151" s="1">
        <v>0</v>
      </c>
      <c r="D151" s="1">
        <v>185</v>
      </c>
      <c r="F151" s="1">
        <v>1300</v>
      </c>
      <c r="G151" s="1" t="s">
        <v>5</v>
      </c>
      <c r="H151" s="1">
        <v>1</v>
      </c>
      <c r="I151" s="1">
        <v>480</v>
      </c>
      <c r="J151" s="4"/>
      <c r="V151" s="8">
        <v>1723</v>
      </c>
      <c r="W151" s="8" t="s">
        <v>4</v>
      </c>
      <c r="X151" s="8">
        <v>0</v>
      </c>
      <c r="Y151" s="8">
        <v>150</v>
      </c>
      <c r="AA151" s="8">
        <v>1956</v>
      </c>
      <c r="AB151" s="8" t="s">
        <v>5</v>
      </c>
      <c r="AC151" s="8">
        <v>0</v>
      </c>
      <c r="AD151" s="8">
        <v>130</v>
      </c>
    </row>
    <row r="152" spans="1:30" x14ac:dyDescent="0.25">
      <c r="A152" s="1">
        <v>1302</v>
      </c>
      <c r="B152" s="1" t="s">
        <v>4</v>
      </c>
      <c r="C152" s="1">
        <v>1</v>
      </c>
      <c r="D152" s="1">
        <v>520</v>
      </c>
      <c r="F152" s="1">
        <v>1301</v>
      </c>
      <c r="G152" s="1" t="s">
        <v>5</v>
      </c>
      <c r="H152" s="1">
        <v>1</v>
      </c>
      <c r="I152" s="1">
        <v>210</v>
      </c>
      <c r="J152" s="4"/>
      <c r="V152" s="8">
        <v>1729</v>
      </c>
      <c r="W152" s="8" t="s">
        <v>4</v>
      </c>
      <c r="X152" s="8">
        <v>0</v>
      </c>
      <c r="Y152" s="8">
        <v>185</v>
      </c>
      <c r="AA152" s="8">
        <v>1960</v>
      </c>
      <c r="AB152" s="8" t="s">
        <v>5</v>
      </c>
      <c r="AC152" s="8">
        <v>0</v>
      </c>
      <c r="AD152" s="8">
        <v>590</v>
      </c>
    </row>
    <row r="153" spans="1:30" x14ac:dyDescent="0.25">
      <c r="A153" s="1">
        <v>1303</v>
      </c>
      <c r="B153" s="1" t="s">
        <v>4</v>
      </c>
      <c r="C153" s="1">
        <v>0</v>
      </c>
      <c r="D153" s="1">
        <v>155</v>
      </c>
      <c r="F153" s="1">
        <v>1304</v>
      </c>
      <c r="G153" s="1" t="s">
        <v>5</v>
      </c>
      <c r="H153" s="1">
        <v>1</v>
      </c>
      <c r="I153" s="1">
        <v>460</v>
      </c>
      <c r="J153" s="4"/>
      <c r="V153" s="8">
        <v>1733</v>
      </c>
      <c r="W153" s="8" t="s">
        <v>4</v>
      </c>
      <c r="X153" s="8">
        <v>0</v>
      </c>
      <c r="Y153" s="8">
        <v>135</v>
      </c>
      <c r="AA153" s="8">
        <v>1966</v>
      </c>
      <c r="AB153" s="8" t="s">
        <v>5</v>
      </c>
      <c r="AC153" s="8">
        <v>0</v>
      </c>
      <c r="AD153" s="8">
        <v>145</v>
      </c>
    </row>
    <row r="154" spans="1:30" x14ac:dyDescent="0.25">
      <c r="A154" s="1">
        <v>1305</v>
      </c>
      <c r="B154" s="1" t="s">
        <v>4</v>
      </c>
      <c r="C154" s="1">
        <v>1</v>
      </c>
      <c r="D154" s="1">
        <v>340</v>
      </c>
      <c r="F154" s="1">
        <v>1306</v>
      </c>
      <c r="G154" s="1" t="s">
        <v>5</v>
      </c>
      <c r="H154" s="1">
        <v>0</v>
      </c>
      <c r="I154" s="1">
        <v>140</v>
      </c>
      <c r="J154" s="4"/>
      <c r="V154" s="8">
        <v>1739</v>
      </c>
      <c r="W154" s="8" t="s">
        <v>4</v>
      </c>
      <c r="X154" s="8">
        <v>0</v>
      </c>
      <c r="Y154" s="8">
        <v>190</v>
      </c>
      <c r="AA154" s="8">
        <v>1971</v>
      </c>
      <c r="AB154" s="8" t="s">
        <v>5</v>
      </c>
      <c r="AC154" s="8">
        <v>0</v>
      </c>
      <c r="AD154" s="8">
        <v>230</v>
      </c>
    </row>
    <row r="155" spans="1:30" x14ac:dyDescent="0.25">
      <c r="A155" s="1">
        <v>1308</v>
      </c>
      <c r="B155" s="1" t="s">
        <v>4</v>
      </c>
      <c r="C155" s="1">
        <v>1</v>
      </c>
      <c r="D155" s="1">
        <v>290</v>
      </c>
      <c r="F155" s="1">
        <v>1307</v>
      </c>
      <c r="G155" s="1" t="s">
        <v>5</v>
      </c>
      <c r="H155" s="1">
        <v>1</v>
      </c>
      <c r="I155" s="1">
        <v>550</v>
      </c>
      <c r="J155" s="4"/>
      <c r="V155" s="8">
        <v>1743</v>
      </c>
      <c r="W155" s="8" t="s">
        <v>4</v>
      </c>
      <c r="X155" s="8">
        <v>0</v>
      </c>
      <c r="Y155" s="8">
        <v>145</v>
      </c>
      <c r="AA155" s="8">
        <v>1976</v>
      </c>
      <c r="AB155" s="8" t="s">
        <v>5</v>
      </c>
      <c r="AC155" s="8">
        <v>0</v>
      </c>
      <c r="AD155" s="8">
        <v>155</v>
      </c>
    </row>
    <row r="156" spans="1:30" x14ac:dyDescent="0.25">
      <c r="A156" s="1">
        <v>1309</v>
      </c>
      <c r="B156" s="1" t="s">
        <v>4</v>
      </c>
      <c r="C156" s="1">
        <v>0</v>
      </c>
      <c r="D156" s="1">
        <v>195</v>
      </c>
      <c r="F156" s="1">
        <v>1310</v>
      </c>
      <c r="G156" s="1" t="s">
        <v>5</v>
      </c>
      <c r="H156" s="1">
        <v>1</v>
      </c>
      <c r="I156" s="1">
        <v>510</v>
      </c>
      <c r="J156" s="4"/>
      <c r="V156" s="8">
        <v>1749</v>
      </c>
      <c r="W156" s="8" t="s">
        <v>4</v>
      </c>
      <c r="X156" s="8">
        <v>0</v>
      </c>
      <c r="Y156" s="8">
        <v>180</v>
      </c>
      <c r="AA156" s="8">
        <v>1977</v>
      </c>
      <c r="AB156" s="8" t="s">
        <v>5</v>
      </c>
      <c r="AC156" s="8">
        <v>0</v>
      </c>
      <c r="AD156" s="8">
        <v>580</v>
      </c>
    </row>
    <row r="157" spans="1:30" x14ac:dyDescent="0.25">
      <c r="A157" s="1">
        <v>1312</v>
      </c>
      <c r="B157" s="1" t="s">
        <v>4</v>
      </c>
      <c r="C157" s="1">
        <v>1</v>
      </c>
      <c r="D157" s="1">
        <v>540</v>
      </c>
      <c r="F157" s="1">
        <v>1311</v>
      </c>
      <c r="G157" s="1" t="s">
        <v>5</v>
      </c>
      <c r="H157" s="1">
        <v>1</v>
      </c>
      <c r="I157" s="1">
        <v>235</v>
      </c>
      <c r="J157" s="4"/>
      <c r="V157" s="8">
        <v>1753</v>
      </c>
      <c r="W157" s="8" t="s">
        <v>4</v>
      </c>
      <c r="X157" s="8">
        <v>0</v>
      </c>
      <c r="Y157" s="8">
        <v>140</v>
      </c>
      <c r="AA157" s="8">
        <v>1986</v>
      </c>
      <c r="AB157" s="8" t="s">
        <v>5</v>
      </c>
      <c r="AC157" s="8">
        <v>0</v>
      </c>
      <c r="AD157" s="8">
        <v>130</v>
      </c>
    </row>
    <row r="158" spans="1:30" x14ac:dyDescent="0.25">
      <c r="A158" s="1">
        <v>1313</v>
      </c>
      <c r="B158" s="1" t="s">
        <v>4</v>
      </c>
      <c r="C158" s="1">
        <v>0</v>
      </c>
      <c r="D158" s="1">
        <v>125</v>
      </c>
      <c r="F158" s="1">
        <v>1314</v>
      </c>
      <c r="G158" s="1" t="s">
        <v>5</v>
      </c>
      <c r="H158" s="1">
        <v>1</v>
      </c>
      <c r="I158" s="1">
        <v>430</v>
      </c>
      <c r="J158" s="4"/>
      <c r="V158" s="8">
        <v>1759</v>
      </c>
      <c r="W158" s="8" t="s">
        <v>4</v>
      </c>
      <c r="X158" s="8">
        <v>0</v>
      </c>
      <c r="Y158" s="8">
        <v>185</v>
      </c>
      <c r="AA158" s="8">
        <v>1996</v>
      </c>
      <c r="AB158" s="8" t="s">
        <v>5</v>
      </c>
      <c r="AC158" s="8">
        <v>0</v>
      </c>
      <c r="AD158" s="8">
        <v>150</v>
      </c>
    </row>
    <row r="159" spans="1:30" x14ac:dyDescent="0.25">
      <c r="A159" s="1">
        <v>1315</v>
      </c>
      <c r="B159" s="1" t="s">
        <v>4</v>
      </c>
      <c r="C159" s="1">
        <v>1</v>
      </c>
      <c r="D159" s="1">
        <v>470</v>
      </c>
      <c r="F159" s="1">
        <v>1316</v>
      </c>
      <c r="G159" s="1" t="s">
        <v>5</v>
      </c>
      <c r="H159" s="1">
        <v>0</v>
      </c>
      <c r="I159" s="1">
        <v>150</v>
      </c>
      <c r="J159" s="4"/>
      <c r="V159" s="8">
        <v>1763</v>
      </c>
      <c r="W159" s="8" t="s">
        <v>4</v>
      </c>
      <c r="X159" s="8">
        <v>0</v>
      </c>
      <c r="Y159" s="8">
        <v>135</v>
      </c>
    </row>
    <row r="160" spans="1:30" x14ac:dyDescent="0.25">
      <c r="A160" s="1">
        <v>1317</v>
      </c>
      <c r="B160" s="1" t="s">
        <v>4</v>
      </c>
      <c r="C160" s="1">
        <v>1</v>
      </c>
      <c r="D160" s="1">
        <v>380</v>
      </c>
      <c r="F160" s="1">
        <v>1318</v>
      </c>
      <c r="G160" s="1" t="s">
        <v>5</v>
      </c>
      <c r="H160" s="1">
        <v>1</v>
      </c>
      <c r="I160" s="1">
        <v>305</v>
      </c>
      <c r="J160" s="4"/>
      <c r="V160" s="8">
        <v>1769</v>
      </c>
      <c r="W160" s="8" t="s">
        <v>4</v>
      </c>
      <c r="X160" s="8">
        <v>0</v>
      </c>
      <c r="Y160" s="8">
        <v>180</v>
      </c>
    </row>
    <row r="161" spans="1:25" x14ac:dyDescent="0.25">
      <c r="A161" s="1">
        <v>1319</v>
      </c>
      <c r="B161" s="1" t="s">
        <v>4</v>
      </c>
      <c r="C161" s="1">
        <v>0</v>
      </c>
      <c r="D161" s="1">
        <v>180</v>
      </c>
      <c r="F161" s="1">
        <v>1320</v>
      </c>
      <c r="G161" s="1" t="s">
        <v>5</v>
      </c>
      <c r="H161" s="1">
        <v>1</v>
      </c>
      <c r="I161" s="1">
        <v>580</v>
      </c>
      <c r="J161" s="4"/>
      <c r="V161" s="8">
        <v>1773</v>
      </c>
      <c r="W161" s="8" t="s">
        <v>4</v>
      </c>
      <c r="X161" s="8">
        <v>0</v>
      </c>
      <c r="Y161" s="8">
        <v>145</v>
      </c>
    </row>
    <row r="162" spans="1:25" x14ac:dyDescent="0.25">
      <c r="A162" s="1">
        <v>1322</v>
      </c>
      <c r="B162" s="1" t="s">
        <v>4</v>
      </c>
      <c r="C162" s="1">
        <v>1</v>
      </c>
      <c r="D162" s="1">
        <v>500</v>
      </c>
      <c r="F162" s="1">
        <v>1321</v>
      </c>
      <c r="G162" s="1" t="s">
        <v>5</v>
      </c>
      <c r="H162" s="1">
        <v>0</v>
      </c>
      <c r="I162" s="1">
        <v>225</v>
      </c>
      <c r="J162" s="4"/>
      <c r="V162" s="8">
        <v>1779</v>
      </c>
      <c r="W162" s="8" t="s">
        <v>4</v>
      </c>
      <c r="X162" s="8">
        <v>0</v>
      </c>
      <c r="Y162" s="8">
        <v>190</v>
      </c>
    </row>
    <row r="163" spans="1:25" x14ac:dyDescent="0.25">
      <c r="A163" s="1">
        <v>1323</v>
      </c>
      <c r="B163" s="1" t="s">
        <v>4</v>
      </c>
      <c r="C163" s="1">
        <v>0</v>
      </c>
      <c r="D163" s="1">
        <v>135</v>
      </c>
      <c r="F163" s="1">
        <v>1324</v>
      </c>
      <c r="G163" s="1" t="s">
        <v>5</v>
      </c>
      <c r="H163" s="1">
        <v>0</v>
      </c>
      <c r="I163" s="1">
        <v>450</v>
      </c>
      <c r="J163" s="4"/>
      <c r="V163" s="8">
        <v>1783</v>
      </c>
      <c r="W163" s="8" t="s">
        <v>4</v>
      </c>
      <c r="X163" s="8">
        <v>0</v>
      </c>
      <c r="Y163" s="8">
        <v>135</v>
      </c>
    </row>
    <row r="164" spans="1:25" x14ac:dyDescent="0.25">
      <c r="A164" s="1">
        <v>1325</v>
      </c>
      <c r="B164" s="1" t="s">
        <v>4</v>
      </c>
      <c r="C164" s="1">
        <v>1</v>
      </c>
      <c r="D164" s="1">
        <v>410</v>
      </c>
      <c r="F164" s="1">
        <v>1326</v>
      </c>
      <c r="G164" s="1" t="s">
        <v>5</v>
      </c>
      <c r="H164" s="1">
        <v>0</v>
      </c>
      <c r="I164" s="1">
        <v>130</v>
      </c>
      <c r="J164" s="4"/>
      <c r="V164" s="8">
        <v>1789</v>
      </c>
      <c r="W164" s="8" t="s">
        <v>4</v>
      </c>
      <c r="X164" s="8">
        <v>0</v>
      </c>
      <c r="Y164" s="8">
        <v>185</v>
      </c>
    </row>
    <row r="165" spans="1:25" x14ac:dyDescent="0.25">
      <c r="A165" s="1">
        <v>1328</v>
      </c>
      <c r="B165" s="1" t="s">
        <v>4</v>
      </c>
      <c r="C165" s="1">
        <v>1</v>
      </c>
      <c r="D165" s="1">
        <v>320</v>
      </c>
      <c r="F165" s="1">
        <v>1327</v>
      </c>
      <c r="G165" s="1" t="s">
        <v>5</v>
      </c>
      <c r="H165" s="1">
        <v>1</v>
      </c>
      <c r="I165" s="1">
        <v>560</v>
      </c>
      <c r="J165" s="4"/>
      <c r="V165" s="8">
        <v>1793</v>
      </c>
      <c r="W165" s="8" t="s">
        <v>4</v>
      </c>
      <c r="X165" s="8">
        <v>0</v>
      </c>
      <c r="Y165" s="8">
        <v>140</v>
      </c>
    </row>
    <row r="166" spans="1:25" x14ac:dyDescent="0.25">
      <c r="A166" s="1">
        <v>1329</v>
      </c>
      <c r="B166" s="1" t="s">
        <v>4</v>
      </c>
      <c r="C166" s="1">
        <v>0</v>
      </c>
      <c r="D166" s="1">
        <v>190</v>
      </c>
      <c r="F166" s="1">
        <v>1330</v>
      </c>
      <c r="G166" s="1" t="s">
        <v>5</v>
      </c>
      <c r="H166" s="1">
        <v>0</v>
      </c>
      <c r="I166" s="1">
        <v>490</v>
      </c>
      <c r="J166" s="4"/>
      <c r="V166" s="8">
        <v>1799</v>
      </c>
      <c r="W166" s="8" t="s">
        <v>4</v>
      </c>
      <c r="X166" s="8">
        <v>0</v>
      </c>
      <c r="Y166" s="8">
        <v>175</v>
      </c>
    </row>
    <row r="167" spans="1:25" x14ac:dyDescent="0.25">
      <c r="A167" s="1">
        <v>1332</v>
      </c>
      <c r="B167" s="1" t="s">
        <v>4</v>
      </c>
      <c r="C167" s="1">
        <v>1</v>
      </c>
      <c r="D167" s="1">
        <v>550</v>
      </c>
      <c r="F167" s="1">
        <v>1331</v>
      </c>
      <c r="G167" s="1" t="s">
        <v>5</v>
      </c>
      <c r="H167" s="1">
        <v>1</v>
      </c>
      <c r="I167" s="1">
        <v>240</v>
      </c>
      <c r="J167" s="4"/>
      <c r="V167" s="8">
        <v>1803</v>
      </c>
      <c r="W167" s="8" t="s">
        <v>4</v>
      </c>
      <c r="X167" s="8">
        <v>0</v>
      </c>
      <c r="Y167" s="8">
        <v>150</v>
      </c>
    </row>
    <row r="168" spans="1:25" x14ac:dyDescent="0.25">
      <c r="A168" s="1">
        <v>1333</v>
      </c>
      <c r="B168" s="1" t="s">
        <v>4</v>
      </c>
      <c r="C168" s="1">
        <v>0</v>
      </c>
      <c r="D168" s="1">
        <v>145</v>
      </c>
      <c r="F168" s="1">
        <v>1334</v>
      </c>
      <c r="G168" s="1" t="s">
        <v>5</v>
      </c>
      <c r="H168" s="1">
        <v>1</v>
      </c>
      <c r="I168" s="1">
        <v>440</v>
      </c>
      <c r="J168" s="4"/>
      <c r="V168" s="8">
        <v>1809</v>
      </c>
      <c r="W168" s="8" t="s">
        <v>4</v>
      </c>
      <c r="X168" s="8">
        <v>0</v>
      </c>
      <c r="Y168" s="8">
        <v>180</v>
      </c>
    </row>
    <row r="169" spans="1:25" x14ac:dyDescent="0.25">
      <c r="A169" s="1">
        <v>1335</v>
      </c>
      <c r="B169" s="1" t="s">
        <v>4</v>
      </c>
      <c r="C169" s="1">
        <v>1</v>
      </c>
      <c r="D169" s="1">
        <v>460</v>
      </c>
      <c r="F169" s="1">
        <v>1336</v>
      </c>
      <c r="G169" s="1" t="s">
        <v>5</v>
      </c>
      <c r="H169" s="1">
        <v>0</v>
      </c>
      <c r="I169" s="1">
        <v>155</v>
      </c>
      <c r="J169" s="4"/>
      <c r="V169" s="8">
        <v>1813</v>
      </c>
      <c r="W169" s="8" t="s">
        <v>4</v>
      </c>
      <c r="X169" s="8">
        <v>0</v>
      </c>
      <c r="Y169" s="8">
        <v>135</v>
      </c>
    </row>
    <row r="170" spans="1:25" x14ac:dyDescent="0.25">
      <c r="A170" s="1">
        <v>1338</v>
      </c>
      <c r="B170" s="1" t="s">
        <v>4</v>
      </c>
      <c r="C170" s="1">
        <v>1</v>
      </c>
      <c r="D170" s="1">
        <v>280</v>
      </c>
      <c r="F170" s="1">
        <v>1337</v>
      </c>
      <c r="G170" s="1" t="s">
        <v>5</v>
      </c>
      <c r="H170" s="1">
        <v>1</v>
      </c>
      <c r="I170" s="1">
        <v>570</v>
      </c>
      <c r="J170" s="4"/>
      <c r="V170" s="8">
        <v>1819</v>
      </c>
      <c r="W170" s="8" t="s">
        <v>4</v>
      </c>
      <c r="X170" s="8">
        <v>0</v>
      </c>
      <c r="Y170" s="8">
        <v>190</v>
      </c>
    </row>
    <row r="171" spans="1:25" x14ac:dyDescent="0.25">
      <c r="A171" s="1">
        <v>1339</v>
      </c>
      <c r="B171" s="1" t="s">
        <v>4</v>
      </c>
      <c r="C171" s="1">
        <v>0</v>
      </c>
      <c r="D171" s="1">
        <v>175</v>
      </c>
      <c r="F171" s="1">
        <v>1340</v>
      </c>
      <c r="G171" s="1" t="s">
        <v>5</v>
      </c>
      <c r="H171" s="1">
        <v>0</v>
      </c>
      <c r="I171" s="1">
        <v>520</v>
      </c>
      <c r="J171" s="4"/>
      <c r="V171" s="8">
        <v>1823</v>
      </c>
      <c r="W171" s="8" t="s">
        <v>4</v>
      </c>
      <c r="X171" s="8">
        <v>0</v>
      </c>
      <c r="Y171" s="8">
        <v>140</v>
      </c>
    </row>
    <row r="172" spans="1:25" x14ac:dyDescent="0.25">
      <c r="A172" s="1">
        <v>1342</v>
      </c>
      <c r="B172" s="1" t="s">
        <v>4</v>
      </c>
      <c r="C172" s="1">
        <v>1</v>
      </c>
      <c r="D172" s="1">
        <v>590</v>
      </c>
      <c r="F172" s="1">
        <v>1341</v>
      </c>
      <c r="G172" s="1" t="s">
        <v>5</v>
      </c>
      <c r="H172" s="1">
        <v>1</v>
      </c>
      <c r="I172" s="1">
        <v>215</v>
      </c>
      <c r="J172" s="4"/>
      <c r="V172" s="8">
        <v>1829</v>
      </c>
      <c r="W172" s="8" t="s">
        <v>4</v>
      </c>
      <c r="X172" s="8">
        <v>0</v>
      </c>
      <c r="Y172" s="8">
        <v>185</v>
      </c>
    </row>
    <row r="173" spans="1:25" x14ac:dyDescent="0.25">
      <c r="A173" s="1">
        <v>1343</v>
      </c>
      <c r="B173" s="1" t="s">
        <v>4</v>
      </c>
      <c r="C173" s="1">
        <v>0</v>
      </c>
      <c r="D173" s="1">
        <v>120</v>
      </c>
      <c r="F173" s="1">
        <v>1344</v>
      </c>
      <c r="G173" s="1" t="s">
        <v>5</v>
      </c>
      <c r="H173" s="1">
        <v>1</v>
      </c>
      <c r="I173" s="1">
        <v>420</v>
      </c>
      <c r="J173" s="4"/>
      <c r="V173" s="8">
        <v>1833</v>
      </c>
      <c r="W173" s="8" t="s">
        <v>4</v>
      </c>
      <c r="X173" s="8">
        <v>0</v>
      </c>
      <c r="Y173" s="8">
        <v>145</v>
      </c>
    </row>
    <row r="174" spans="1:25" x14ac:dyDescent="0.25">
      <c r="A174" s="1">
        <v>1345</v>
      </c>
      <c r="B174" s="1" t="s">
        <v>4</v>
      </c>
      <c r="C174" s="1">
        <v>1</v>
      </c>
      <c r="D174" s="1">
        <v>480</v>
      </c>
      <c r="F174" s="1">
        <v>1346</v>
      </c>
      <c r="G174" s="1" t="s">
        <v>5</v>
      </c>
      <c r="H174" s="1">
        <v>0</v>
      </c>
      <c r="I174" s="1">
        <v>140</v>
      </c>
      <c r="J174" s="4"/>
      <c r="V174" s="8">
        <v>1839</v>
      </c>
      <c r="W174" s="8" t="s">
        <v>4</v>
      </c>
      <c r="X174" s="8">
        <v>0</v>
      </c>
      <c r="Y174" s="8">
        <v>180</v>
      </c>
    </row>
    <row r="175" spans="1:25" x14ac:dyDescent="0.25">
      <c r="A175" s="1">
        <v>1347</v>
      </c>
      <c r="B175" s="1" t="s">
        <v>4</v>
      </c>
      <c r="C175" s="1">
        <v>1</v>
      </c>
      <c r="D175" s="1">
        <v>350</v>
      </c>
      <c r="F175" s="1">
        <v>1348</v>
      </c>
      <c r="G175" s="1" t="s">
        <v>5</v>
      </c>
      <c r="H175" s="1">
        <v>0</v>
      </c>
      <c r="I175" s="1">
        <v>315</v>
      </c>
      <c r="J175" s="4"/>
      <c r="V175" s="8">
        <v>1843</v>
      </c>
      <c r="W175" s="8" t="s">
        <v>4</v>
      </c>
      <c r="X175" s="8">
        <v>0</v>
      </c>
      <c r="Y175" s="8">
        <v>135</v>
      </c>
    </row>
    <row r="176" spans="1:25" x14ac:dyDescent="0.25">
      <c r="A176" s="1">
        <v>1349</v>
      </c>
      <c r="B176" s="1" t="s">
        <v>4</v>
      </c>
      <c r="C176" s="1">
        <v>0</v>
      </c>
      <c r="D176" s="1">
        <v>185</v>
      </c>
      <c r="F176" s="1">
        <v>1350</v>
      </c>
      <c r="G176" s="1" t="s">
        <v>5</v>
      </c>
      <c r="H176" s="1">
        <v>1</v>
      </c>
      <c r="I176" s="1">
        <v>530</v>
      </c>
      <c r="J176" s="4"/>
      <c r="V176" s="8">
        <v>1849</v>
      </c>
      <c r="W176" s="8" t="s">
        <v>4</v>
      </c>
      <c r="X176" s="8">
        <v>0</v>
      </c>
      <c r="Y176" s="8">
        <v>175</v>
      </c>
    </row>
    <row r="177" spans="1:25" x14ac:dyDescent="0.25">
      <c r="A177" s="1">
        <v>1352</v>
      </c>
      <c r="B177" s="1" t="s">
        <v>4</v>
      </c>
      <c r="C177" s="1">
        <v>1</v>
      </c>
      <c r="D177" s="1">
        <v>510</v>
      </c>
      <c r="F177" s="1">
        <v>1351</v>
      </c>
      <c r="G177" s="1" t="s">
        <v>5</v>
      </c>
      <c r="H177" s="1">
        <v>1</v>
      </c>
      <c r="I177" s="1">
        <v>245</v>
      </c>
      <c r="J177" s="4"/>
      <c r="V177" s="8">
        <v>1853</v>
      </c>
      <c r="W177" s="8" t="s">
        <v>4</v>
      </c>
      <c r="X177" s="8">
        <v>0</v>
      </c>
      <c r="Y177" s="8">
        <v>145</v>
      </c>
    </row>
    <row r="178" spans="1:25" x14ac:dyDescent="0.25">
      <c r="A178" s="1">
        <v>1353</v>
      </c>
      <c r="B178" s="1" t="s">
        <v>4</v>
      </c>
      <c r="C178" s="1">
        <v>0</v>
      </c>
      <c r="D178" s="1">
        <v>130</v>
      </c>
      <c r="F178" s="1">
        <v>1354</v>
      </c>
      <c r="G178" s="1" t="s">
        <v>5</v>
      </c>
      <c r="H178" s="1">
        <v>0</v>
      </c>
      <c r="I178" s="1">
        <v>470</v>
      </c>
      <c r="J178" s="4"/>
      <c r="V178" s="8">
        <v>1859</v>
      </c>
      <c r="W178" s="8" t="s">
        <v>4</v>
      </c>
      <c r="X178" s="8">
        <v>0</v>
      </c>
      <c r="Y178" s="8">
        <v>190</v>
      </c>
    </row>
    <row r="179" spans="1:25" x14ac:dyDescent="0.25">
      <c r="A179" s="1">
        <v>1355</v>
      </c>
      <c r="B179" s="1" t="s">
        <v>4</v>
      </c>
      <c r="C179" s="1">
        <v>1</v>
      </c>
      <c r="D179" s="1">
        <v>370</v>
      </c>
      <c r="F179" s="1">
        <v>1356</v>
      </c>
      <c r="G179" s="1" t="s">
        <v>5</v>
      </c>
      <c r="H179" s="1">
        <v>0</v>
      </c>
      <c r="I179" s="1">
        <v>125</v>
      </c>
      <c r="J179" s="4"/>
      <c r="V179" s="8">
        <v>1863</v>
      </c>
      <c r="W179" s="8" t="s">
        <v>4</v>
      </c>
      <c r="X179" s="8">
        <v>0</v>
      </c>
      <c r="Y179" s="8">
        <v>135</v>
      </c>
    </row>
    <row r="180" spans="1:25" x14ac:dyDescent="0.25">
      <c r="A180" s="1">
        <v>1358</v>
      </c>
      <c r="B180" s="1" t="s">
        <v>4</v>
      </c>
      <c r="C180" s="1">
        <v>1</v>
      </c>
      <c r="D180" s="1">
        <v>300</v>
      </c>
      <c r="F180" s="1">
        <v>1357</v>
      </c>
      <c r="G180" s="1" t="s">
        <v>5</v>
      </c>
      <c r="H180" s="1">
        <v>1</v>
      </c>
      <c r="I180" s="1">
        <v>540</v>
      </c>
      <c r="J180" s="4"/>
      <c r="V180" s="8">
        <v>1869</v>
      </c>
      <c r="W180" s="8" t="s">
        <v>4</v>
      </c>
      <c r="X180" s="8">
        <v>0</v>
      </c>
      <c r="Y180" s="8">
        <v>185</v>
      </c>
    </row>
    <row r="181" spans="1:25" x14ac:dyDescent="0.25">
      <c r="A181" s="1">
        <v>1359</v>
      </c>
      <c r="B181" s="1" t="s">
        <v>4</v>
      </c>
      <c r="C181" s="1">
        <v>0</v>
      </c>
      <c r="D181" s="1">
        <v>195</v>
      </c>
      <c r="F181" s="1">
        <v>1360</v>
      </c>
      <c r="G181" s="1" t="s">
        <v>5</v>
      </c>
      <c r="H181" s="1">
        <v>0</v>
      </c>
      <c r="I181" s="1">
        <v>500</v>
      </c>
      <c r="J181" s="4"/>
      <c r="V181" s="8">
        <v>1873</v>
      </c>
      <c r="W181" s="8" t="s">
        <v>4</v>
      </c>
      <c r="X181" s="8">
        <v>0</v>
      </c>
      <c r="Y181" s="8">
        <v>140</v>
      </c>
    </row>
    <row r="182" spans="1:25" x14ac:dyDescent="0.25">
      <c r="A182" s="1">
        <v>1362</v>
      </c>
      <c r="B182" s="1" t="s">
        <v>4</v>
      </c>
      <c r="C182" s="1">
        <v>1</v>
      </c>
      <c r="D182" s="1">
        <v>560</v>
      </c>
      <c r="F182" s="1">
        <v>1361</v>
      </c>
      <c r="G182" s="1" t="s">
        <v>5</v>
      </c>
      <c r="H182" s="1">
        <v>1</v>
      </c>
      <c r="I182" s="1">
        <v>230</v>
      </c>
      <c r="J182" s="4"/>
      <c r="V182" s="8">
        <v>1879</v>
      </c>
      <c r="W182" s="8" t="s">
        <v>4</v>
      </c>
      <c r="X182" s="8">
        <v>0</v>
      </c>
      <c r="Y182" s="8">
        <v>175</v>
      </c>
    </row>
    <row r="183" spans="1:25" x14ac:dyDescent="0.25">
      <c r="A183" s="1">
        <v>1363</v>
      </c>
      <c r="B183" s="1" t="s">
        <v>4</v>
      </c>
      <c r="C183" s="1">
        <v>0</v>
      </c>
      <c r="D183" s="1">
        <v>150</v>
      </c>
      <c r="F183" s="1">
        <v>1364</v>
      </c>
      <c r="G183" s="1" t="s">
        <v>5</v>
      </c>
      <c r="H183" s="1">
        <v>1</v>
      </c>
      <c r="I183" s="1">
        <v>460</v>
      </c>
      <c r="J183" s="4"/>
      <c r="V183" s="8">
        <v>1883</v>
      </c>
      <c r="W183" s="8" t="s">
        <v>4</v>
      </c>
      <c r="X183" s="8">
        <v>0</v>
      </c>
      <c r="Y183" s="8">
        <v>150</v>
      </c>
    </row>
    <row r="184" spans="1:25" x14ac:dyDescent="0.25">
      <c r="A184" s="1">
        <v>1365</v>
      </c>
      <c r="B184" s="1" t="s">
        <v>4</v>
      </c>
      <c r="C184" s="1">
        <v>1</v>
      </c>
      <c r="D184" s="1">
        <v>440</v>
      </c>
      <c r="F184" s="1">
        <v>1366</v>
      </c>
      <c r="G184" s="1" t="s">
        <v>5</v>
      </c>
      <c r="H184" s="1">
        <v>0</v>
      </c>
      <c r="I184" s="1">
        <v>135</v>
      </c>
      <c r="J184" s="4"/>
      <c r="V184" s="8">
        <v>1889</v>
      </c>
      <c r="W184" s="8" t="s">
        <v>4</v>
      </c>
      <c r="X184" s="8">
        <v>0</v>
      </c>
      <c r="Y184" s="8">
        <v>180</v>
      </c>
    </row>
    <row r="185" spans="1:25" x14ac:dyDescent="0.25">
      <c r="A185" s="1">
        <v>1367</v>
      </c>
      <c r="B185" s="1" t="s">
        <v>4</v>
      </c>
      <c r="C185" s="1">
        <v>1</v>
      </c>
      <c r="D185" s="1">
        <v>390</v>
      </c>
      <c r="F185" s="1">
        <v>1368</v>
      </c>
      <c r="G185" s="1" t="s">
        <v>5</v>
      </c>
      <c r="H185" s="1">
        <v>1</v>
      </c>
      <c r="I185" s="1">
        <v>310</v>
      </c>
      <c r="J185" s="4"/>
      <c r="V185" s="8">
        <v>1893</v>
      </c>
      <c r="W185" s="8" t="s">
        <v>4</v>
      </c>
      <c r="X185" s="8">
        <v>0</v>
      </c>
      <c r="Y185" s="8">
        <v>135</v>
      </c>
    </row>
    <row r="186" spans="1:25" x14ac:dyDescent="0.25">
      <c r="A186" s="1">
        <v>1369</v>
      </c>
      <c r="B186" s="1" t="s">
        <v>4</v>
      </c>
      <c r="C186" s="1">
        <v>0</v>
      </c>
      <c r="D186" s="1">
        <v>180</v>
      </c>
      <c r="F186" s="1">
        <v>1370</v>
      </c>
      <c r="G186" s="1" t="s">
        <v>5</v>
      </c>
      <c r="H186" s="1">
        <v>1</v>
      </c>
      <c r="I186" s="1">
        <v>570</v>
      </c>
      <c r="J186" s="4"/>
      <c r="V186" s="8">
        <v>1899</v>
      </c>
      <c r="W186" s="8" t="s">
        <v>4</v>
      </c>
      <c r="X186" s="8">
        <v>0</v>
      </c>
      <c r="Y186" s="8">
        <v>190</v>
      </c>
    </row>
    <row r="187" spans="1:25" x14ac:dyDescent="0.25">
      <c r="A187" s="1">
        <v>1372</v>
      </c>
      <c r="B187" s="1" t="s">
        <v>4</v>
      </c>
      <c r="C187" s="1">
        <v>1</v>
      </c>
      <c r="D187" s="1">
        <v>520</v>
      </c>
      <c r="F187" s="1">
        <v>1371</v>
      </c>
      <c r="G187" s="1" t="s">
        <v>5</v>
      </c>
      <c r="H187" s="1">
        <v>1</v>
      </c>
      <c r="I187" s="1">
        <v>225</v>
      </c>
      <c r="J187" s="4"/>
      <c r="V187" s="8">
        <v>1903</v>
      </c>
      <c r="W187" s="8" t="s">
        <v>4</v>
      </c>
      <c r="X187" s="8">
        <v>0</v>
      </c>
      <c r="Y187" s="8">
        <v>140</v>
      </c>
    </row>
    <row r="188" spans="1:25" x14ac:dyDescent="0.25">
      <c r="A188" s="1">
        <v>1373</v>
      </c>
      <c r="B188" s="1" t="s">
        <v>4</v>
      </c>
      <c r="C188" s="1">
        <v>0</v>
      </c>
      <c r="D188" s="1">
        <v>140</v>
      </c>
      <c r="F188" s="1">
        <v>1374</v>
      </c>
      <c r="G188" s="1" t="s">
        <v>5</v>
      </c>
      <c r="H188" s="1">
        <v>1</v>
      </c>
      <c r="I188" s="1">
        <v>450</v>
      </c>
      <c r="J188" s="4"/>
      <c r="V188" s="8">
        <v>1909</v>
      </c>
      <c r="W188" s="8" t="s">
        <v>4</v>
      </c>
      <c r="X188" s="8">
        <v>0</v>
      </c>
      <c r="Y188" s="8">
        <v>185</v>
      </c>
    </row>
    <row r="189" spans="1:25" x14ac:dyDescent="0.25">
      <c r="A189" s="1">
        <v>1375</v>
      </c>
      <c r="B189" s="1" t="s">
        <v>4</v>
      </c>
      <c r="C189" s="1">
        <v>1</v>
      </c>
      <c r="D189" s="1">
        <v>430</v>
      </c>
      <c r="F189" s="1">
        <v>1376</v>
      </c>
      <c r="G189" s="1" t="s">
        <v>5</v>
      </c>
      <c r="H189" s="1">
        <v>0</v>
      </c>
      <c r="I189" s="1">
        <v>155</v>
      </c>
      <c r="J189" s="4"/>
      <c r="V189" s="8">
        <v>1913</v>
      </c>
      <c r="W189" s="8" t="s">
        <v>4</v>
      </c>
      <c r="X189" s="8">
        <v>0</v>
      </c>
      <c r="Y189" s="8">
        <v>145</v>
      </c>
    </row>
    <row r="190" spans="1:25" x14ac:dyDescent="0.25">
      <c r="A190" s="1">
        <v>1378</v>
      </c>
      <c r="B190" s="1" t="s">
        <v>4</v>
      </c>
      <c r="C190" s="1">
        <v>1</v>
      </c>
      <c r="D190" s="1">
        <v>275</v>
      </c>
      <c r="F190" s="1">
        <v>1377</v>
      </c>
      <c r="G190" s="1" t="s">
        <v>5</v>
      </c>
      <c r="H190" s="1">
        <v>1</v>
      </c>
      <c r="I190" s="1">
        <v>590</v>
      </c>
      <c r="J190" s="4"/>
      <c r="V190" s="8">
        <v>1919</v>
      </c>
      <c r="W190" s="8" t="s">
        <v>4</v>
      </c>
      <c r="X190" s="8">
        <v>0</v>
      </c>
      <c r="Y190" s="8">
        <v>180</v>
      </c>
    </row>
    <row r="191" spans="1:25" x14ac:dyDescent="0.25">
      <c r="A191" s="1">
        <v>1379</v>
      </c>
      <c r="B191" s="1" t="s">
        <v>4</v>
      </c>
      <c r="C191" s="1">
        <v>0</v>
      </c>
      <c r="D191" s="1">
        <v>190</v>
      </c>
      <c r="F191" s="1">
        <v>1380</v>
      </c>
      <c r="G191" s="1" t="s">
        <v>5</v>
      </c>
      <c r="H191" s="1">
        <v>1</v>
      </c>
      <c r="I191" s="1">
        <v>510</v>
      </c>
      <c r="J191" s="4"/>
      <c r="V191" s="8">
        <v>1923</v>
      </c>
      <c r="W191" s="8" t="s">
        <v>4</v>
      </c>
      <c r="X191" s="8">
        <v>0</v>
      </c>
      <c r="Y191" s="8">
        <v>135</v>
      </c>
    </row>
    <row r="192" spans="1:25" x14ac:dyDescent="0.25">
      <c r="A192" s="1">
        <v>1382</v>
      </c>
      <c r="B192" s="1" t="s">
        <v>4</v>
      </c>
      <c r="C192" s="1">
        <v>1</v>
      </c>
      <c r="D192" s="1">
        <v>550</v>
      </c>
      <c r="F192" s="1">
        <v>1381</v>
      </c>
      <c r="G192" s="1" t="s">
        <v>5</v>
      </c>
      <c r="H192" s="1">
        <v>1</v>
      </c>
      <c r="I192" s="1">
        <v>240</v>
      </c>
      <c r="J192" s="4"/>
      <c r="V192" s="8">
        <v>1929</v>
      </c>
      <c r="W192" s="8" t="s">
        <v>4</v>
      </c>
      <c r="X192" s="8">
        <v>0</v>
      </c>
      <c r="Y192" s="8">
        <v>175</v>
      </c>
    </row>
    <row r="193" spans="1:25" x14ac:dyDescent="0.25">
      <c r="A193" s="1">
        <v>1383</v>
      </c>
      <c r="B193" s="1" t="s">
        <v>4</v>
      </c>
      <c r="C193" s="1">
        <v>0</v>
      </c>
      <c r="D193" s="1">
        <v>125</v>
      </c>
      <c r="F193" s="1">
        <v>1384</v>
      </c>
      <c r="G193" s="1" t="s">
        <v>5</v>
      </c>
      <c r="H193" s="1">
        <v>1</v>
      </c>
      <c r="I193" s="1">
        <v>440</v>
      </c>
      <c r="J193" s="4"/>
      <c r="V193" s="8">
        <v>1933</v>
      </c>
      <c r="W193" s="8" t="s">
        <v>4</v>
      </c>
      <c r="X193" s="8">
        <v>0</v>
      </c>
      <c r="Y193" s="8">
        <v>145</v>
      </c>
    </row>
    <row r="194" spans="1:25" x14ac:dyDescent="0.25">
      <c r="A194" s="1">
        <v>1385</v>
      </c>
      <c r="B194" s="1" t="s">
        <v>4</v>
      </c>
      <c r="C194" s="1">
        <v>1</v>
      </c>
      <c r="D194" s="1">
        <v>470</v>
      </c>
      <c r="F194" s="1">
        <v>1386</v>
      </c>
      <c r="G194" s="1" t="s">
        <v>5</v>
      </c>
      <c r="H194" s="1">
        <v>0</v>
      </c>
      <c r="I194" s="1">
        <v>160</v>
      </c>
      <c r="J194" s="4"/>
      <c r="V194" s="8">
        <v>1939</v>
      </c>
      <c r="W194" s="8" t="s">
        <v>4</v>
      </c>
      <c r="X194" s="8">
        <v>0</v>
      </c>
      <c r="Y194" s="8">
        <v>190</v>
      </c>
    </row>
    <row r="195" spans="1:25" x14ac:dyDescent="0.25">
      <c r="A195" s="1">
        <v>1387</v>
      </c>
      <c r="B195" s="1" t="s">
        <v>4</v>
      </c>
      <c r="C195" s="1">
        <v>1</v>
      </c>
      <c r="D195" s="1">
        <v>360</v>
      </c>
      <c r="F195" s="1">
        <v>1388</v>
      </c>
      <c r="G195" s="1" t="s">
        <v>5</v>
      </c>
      <c r="H195" s="1">
        <v>1</v>
      </c>
      <c r="I195" s="1">
        <v>295</v>
      </c>
      <c r="J195" s="4"/>
      <c r="V195" s="8">
        <v>1943</v>
      </c>
      <c r="W195" s="8" t="s">
        <v>4</v>
      </c>
      <c r="X195" s="8">
        <v>0</v>
      </c>
      <c r="Y195" s="8">
        <v>135</v>
      </c>
    </row>
    <row r="196" spans="1:25" x14ac:dyDescent="0.25">
      <c r="A196" s="1">
        <v>1389</v>
      </c>
      <c r="B196" s="1" t="s">
        <v>4</v>
      </c>
      <c r="C196" s="1">
        <v>0</v>
      </c>
      <c r="D196" s="1">
        <v>175</v>
      </c>
      <c r="F196" s="1">
        <v>1390</v>
      </c>
      <c r="G196" s="1" t="s">
        <v>5</v>
      </c>
      <c r="H196" s="1">
        <v>1</v>
      </c>
      <c r="I196" s="1">
        <v>580</v>
      </c>
      <c r="J196" s="4"/>
      <c r="V196" s="8">
        <v>1949</v>
      </c>
      <c r="W196" s="8" t="s">
        <v>4</v>
      </c>
      <c r="X196" s="8">
        <v>0</v>
      </c>
      <c r="Y196" s="8">
        <v>185</v>
      </c>
    </row>
    <row r="197" spans="1:25" x14ac:dyDescent="0.25">
      <c r="A197" s="1">
        <v>1392</v>
      </c>
      <c r="B197" s="1" t="s">
        <v>4</v>
      </c>
      <c r="C197" s="1">
        <v>1</v>
      </c>
      <c r="D197" s="1">
        <v>530</v>
      </c>
      <c r="F197" s="1">
        <v>1391</v>
      </c>
      <c r="G197" s="1" t="s">
        <v>5</v>
      </c>
      <c r="H197" s="1">
        <v>1</v>
      </c>
      <c r="I197" s="1">
        <v>210</v>
      </c>
      <c r="J197" s="4"/>
      <c r="V197" s="8">
        <v>1953</v>
      </c>
      <c r="W197" s="8" t="s">
        <v>4</v>
      </c>
      <c r="X197" s="8">
        <v>0</v>
      </c>
      <c r="Y197" s="8">
        <v>140</v>
      </c>
    </row>
    <row r="198" spans="1:25" x14ac:dyDescent="0.25">
      <c r="A198" s="1">
        <v>1393</v>
      </c>
      <c r="B198" s="1" t="s">
        <v>4</v>
      </c>
      <c r="C198" s="1">
        <v>0</v>
      </c>
      <c r="D198" s="1">
        <v>145</v>
      </c>
      <c r="F198" s="1">
        <v>1394</v>
      </c>
      <c r="G198" s="1" t="s">
        <v>5</v>
      </c>
      <c r="H198" s="1">
        <v>1</v>
      </c>
      <c r="I198" s="1">
        <v>480</v>
      </c>
      <c r="J198" s="4"/>
      <c r="V198" s="8">
        <v>1959</v>
      </c>
      <c r="W198" s="8" t="s">
        <v>4</v>
      </c>
      <c r="X198" s="8">
        <v>0</v>
      </c>
      <c r="Y198" s="8">
        <v>175</v>
      </c>
    </row>
    <row r="199" spans="1:25" x14ac:dyDescent="0.25">
      <c r="A199" s="1">
        <v>1395</v>
      </c>
      <c r="B199" s="1" t="s">
        <v>4</v>
      </c>
      <c r="C199" s="1">
        <v>1</v>
      </c>
      <c r="D199" s="1">
        <v>420</v>
      </c>
      <c r="F199" s="1">
        <v>1396</v>
      </c>
      <c r="G199" s="1" t="s">
        <v>5</v>
      </c>
      <c r="H199" s="1">
        <v>0</v>
      </c>
      <c r="I199" s="1">
        <v>130</v>
      </c>
      <c r="J199" s="4"/>
      <c r="V199" s="8">
        <v>1963</v>
      </c>
      <c r="W199" s="8" t="s">
        <v>4</v>
      </c>
      <c r="X199" s="8">
        <v>0</v>
      </c>
      <c r="Y199" s="8">
        <v>150</v>
      </c>
    </row>
    <row r="200" spans="1:25" x14ac:dyDescent="0.25">
      <c r="A200" s="1">
        <v>1398</v>
      </c>
      <c r="B200" s="1" t="s">
        <v>4</v>
      </c>
      <c r="C200" s="1">
        <v>1</v>
      </c>
      <c r="D200" s="1">
        <v>310</v>
      </c>
      <c r="F200" s="1">
        <v>1397</v>
      </c>
      <c r="G200" s="1" t="s">
        <v>5</v>
      </c>
      <c r="H200" s="1">
        <v>1</v>
      </c>
      <c r="I200" s="1">
        <v>560</v>
      </c>
      <c r="J200" s="4"/>
      <c r="V200" s="8">
        <v>1969</v>
      </c>
      <c r="W200" s="8" t="s">
        <v>4</v>
      </c>
      <c r="X200" s="8">
        <v>0</v>
      </c>
      <c r="Y200" s="8">
        <v>180</v>
      </c>
    </row>
    <row r="201" spans="1:25" x14ac:dyDescent="0.25">
      <c r="A201" s="1">
        <v>1399</v>
      </c>
      <c r="B201" s="1" t="s">
        <v>4</v>
      </c>
      <c r="C201" s="1">
        <v>0</v>
      </c>
      <c r="D201" s="1">
        <v>185</v>
      </c>
      <c r="F201" s="1">
        <v>1400</v>
      </c>
      <c r="G201" s="1" t="s">
        <v>5</v>
      </c>
      <c r="H201" s="1">
        <v>1</v>
      </c>
      <c r="I201" s="1">
        <v>490</v>
      </c>
      <c r="J201" s="4"/>
      <c r="V201" s="8">
        <v>1973</v>
      </c>
      <c r="W201" s="8" t="s">
        <v>4</v>
      </c>
      <c r="X201" s="8">
        <v>0</v>
      </c>
      <c r="Y201" s="8">
        <v>135</v>
      </c>
    </row>
    <row r="202" spans="1:25" x14ac:dyDescent="0.25">
      <c r="A202" s="1">
        <v>1402</v>
      </c>
      <c r="B202" s="1" t="s">
        <v>4</v>
      </c>
      <c r="C202" s="1">
        <v>1</v>
      </c>
      <c r="D202" s="1">
        <v>540</v>
      </c>
      <c r="F202" s="1">
        <v>1401</v>
      </c>
      <c r="G202" s="1" t="s">
        <v>5</v>
      </c>
      <c r="H202" s="1">
        <v>1</v>
      </c>
      <c r="I202" s="1">
        <v>235</v>
      </c>
      <c r="J202" s="4"/>
      <c r="V202" s="8">
        <v>1979</v>
      </c>
      <c r="W202" s="8" t="s">
        <v>4</v>
      </c>
      <c r="X202" s="8">
        <v>0</v>
      </c>
      <c r="Y202" s="8">
        <v>190</v>
      </c>
    </row>
    <row r="203" spans="1:25" x14ac:dyDescent="0.25">
      <c r="A203" s="1">
        <v>1403</v>
      </c>
      <c r="B203" s="1" t="s">
        <v>4</v>
      </c>
      <c r="C203" s="1">
        <v>0</v>
      </c>
      <c r="D203" s="1">
        <v>135</v>
      </c>
      <c r="F203" s="1">
        <v>1404</v>
      </c>
      <c r="G203" s="1" t="s">
        <v>5</v>
      </c>
      <c r="H203" s="1">
        <v>1</v>
      </c>
      <c r="I203" s="1">
        <v>460</v>
      </c>
      <c r="J203" s="4"/>
      <c r="V203" s="8">
        <v>1983</v>
      </c>
      <c r="W203" s="8" t="s">
        <v>4</v>
      </c>
      <c r="X203" s="8">
        <v>0</v>
      </c>
      <c r="Y203" s="8">
        <v>140</v>
      </c>
    </row>
    <row r="204" spans="1:25" x14ac:dyDescent="0.25">
      <c r="A204" s="1">
        <v>1405</v>
      </c>
      <c r="B204" s="1" t="s">
        <v>4</v>
      </c>
      <c r="C204" s="1">
        <v>1</v>
      </c>
      <c r="D204" s="1">
        <v>450</v>
      </c>
      <c r="F204" s="1">
        <v>1406</v>
      </c>
      <c r="G204" s="1" t="s">
        <v>5</v>
      </c>
      <c r="H204" s="1">
        <v>0</v>
      </c>
      <c r="I204" s="1">
        <v>150</v>
      </c>
      <c r="J204" s="4"/>
      <c r="V204" s="8">
        <v>1989</v>
      </c>
      <c r="W204" s="8" t="s">
        <v>4</v>
      </c>
      <c r="X204" s="8">
        <v>0</v>
      </c>
      <c r="Y204" s="8">
        <v>185</v>
      </c>
    </row>
    <row r="205" spans="1:25" x14ac:dyDescent="0.25">
      <c r="A205" s="1">
        <v>1407</v>
      </c>
      <c r="B205" s="1" t="s">
        <v>4</v>
      </c>
      <c r="C205" s="1">
        <v>1</v>
      </c>
      <c r="D205" s="1">
        <v>380</v>
      </c>
      <c r="F205" s="1">
        <v>1408</v>
      </c>
      <c r="G205" s="1" t="s">
        <v>5</v>
      </c>
      <c r="H205" s="1">
        <v>1</v>
      </c>
      <c r="I205" s="1">
        <v>325</v>
      </c>
      <c r="J205" s="4"/>
      <c r="V205" s="8">
        <v>1993</v>
      </c>
      <c r="W205" s="8" t="s">
        <v>4</v>
      </c>
      <c r="X205" s="8">
        <v>0</v>
      </c>
      <c r="Y205" s="8">
        <v>145</v>
      </c>
    </row>
    <row r="206" spans="1:25" x14ac:dyDescent="0.25">
      <c r="A206" s="1">
        <v>1409</v>
      </c>
      <c r="B206" s="1" t="s">
        <v>4</v>
      </c>
      <c r="C206" s="1">
        <v>0</v>
      </c>
      <c r="D206" s="1">
        <v>180</v>
      </c>
      <c r="F206" s="1">
        <v>1410</v>
      </c>
      <c r="G206" s="1" t="s">
        <v>5</v>
      </c>
      <c r="H206" s="1">
        <v>1</v>
      </c>
      <c r="I206" s="1">
        <v>570</v>
      </c>
      <c r="J206" s="4"/>
      <c r="V206" s="8">
        <v>1999</v>
      </c>
      <c r="W206" s="8" t="s">
        <v>4</v>
      </c>
      <c r="X206" s="8">
        <v>0</v>
      </c>
      <c r="Y206" s="8">
        <v>180</v>
      </c>
    </row>
    <row r="207" spans="1:25" x14ac:dyDescent="0.25">
      <c r="A207" s="1">
        <v>1412</v>
      </c>
      <c r="B207" s="1" t="s">
        <v>4</v>
      </c>
      <c r="C207" s="1">
        <v>1</v>
      </c>
      <c r="D207" s="1">
        <v>510</v>
      </c>
      <c r="F207" s="1">
        <v>1411</v>
      </c>
      <c r="G207" s="1" t="s">
        <v>5</v>
      </c>
      <c r="H207" s="1">
        <v>1</v>
      </c>
      <c r="I207" s="1">
        <v>220</v>
      </c>
      <c r="J207" s="4"/>
    </row>
    <row r="208" spans="1:25" x14ac:dyDescent="0.25">
      <c r="A208" s="1">
        <v>1413</v>
      </c>
      <c r="B208" s="1" t="s">
        <v>4</v>
      </c>
      <c r="C208" s="1">
        <v>0</v>
      </c>
      <c r="D208" s="1">
        <v>140</v>
      </c>
      <c r="F208" s="1">
        <v>1414</v>
      </c>
      <c r="G208" s="1" t="s">
        <v>5</v>
      </c>
      <c r="H208" s="1">
        <v>1</v>
      </c>
      <c r="I208" s="1">
        <v>470</v>
      </c>
      <c r="J208" s="4"/>
    </row>
    <row r="209" spans="1:10" x14ac:dyDescent="0.25">
      <c r="A209" s="1">
        <v>1415</v>
      </c>
      <c r="B209" s="1" t="s">
        <v>4</v>
      </c>
      <c r="C209" s="1">
        <v>1</v>
      </c>
      <c r="D209" s="1">
        <v>430</v>
      </c>
      <c r="F209" s="1">
        <v>1416</v>
      </c>
      <c r="G209" s="1" t="s">
        <v>5</v>
      </c>
      <c r="H209" s="1">
        <v>0</v>
      </c>
      <c r="I209" s="1">
        <v>125</v>
      </c>
      <c r="J209" s="4"/>
    </row>
    <row r="210" spans="1:10" x14ac:dyDescent="0.25">
      <c r="A210" s="1">
        <v>1418</v>
      </c>
      <c r="B210" s="1" t="s">
        <v>4</v>
      </c>
      <c r="C210" s="1">
        <v>1</v>
      </c>
      <c r="D210" s="1">
        <v>290</v>
      </c>
      <c r="F210" s="1">
        <v>1417</v>
      </c>
      <c r="G210" s="1" t="s">
        <v>5</v>
      </c>
      <c r="H210" s="1">
        <v>1</v>
      </c>
      <c r="I210" s="1">
        <v>550</v>
      </c>
      <c r="J210" s="4"/>
    </row>
    <row r="211" spans="1:10" x14ac:dyDescent="0.25">
      <c r="A211" s="1">
        <v>1419</v>
      </c>
      <c r="B211" s="1" t="s">
        <v>4</v>
      </c>
      <c r="C211" s="1">
        <v>0</v>
      </c>
      <c r="D211" s="1">
        <v>195</v>
      </c>
      <c r="F211" s="1">
        <v>1420</v>
      </c>
      <c r="G211" s="1" t="s">
        <v>5</v>
      </c>
      <c r="H211" s="1">
        <v>1</v>
      </c>
      <c r="I211" s="1">
        <v>520</v>
      </c>
      <c r="J211" s="4"/>
    </row>
    <row r="212" spans="1:10" x14ac:dyDescent="0.25">
      <c r="A212" s="1">
        <v>1422</v>
      </c>
      <c r="B212" s="1" t="s">
        <v>4</v>
      </c>
      <c r="C212" s="1">
        <v>1</v>
      </c>
      <c r="D212" s="1">
        <v>560</v>
      </c>
      <c r="F212" s="1">
        <v>1421</v>
      </c>
      <c r="G212" s="1" t="s">
        <v>5</v>
      </c>
      <c r="H212" s="1">
        <v>1</v>
      </c>
      <c r="I212" s="1">
        <v>245</v>
      </c>
      <c r="J212" s="4"/>
    </row>
    <row r="213" spans="1:10" x14ac:dyDescent="0.25">
      <c r="A213" s="1">
        <v>1423</v>
      </c>
      <c r="B213" s="1" t="s">
        <v>4</v>
      </c>
      <c r="C213" s="1">
        <v>0</v>
      </c>
      <c r="D213" s="1">
        <v>130</v>
      </c>
      <c r="F213" s="1">
        <v>1424</v>
      </c>
      <c r="G213" s="1" t="s">
        <v>5</v>
      </c>
      <c r="H213" s="1">
        <v>1</v>
      </c>
      <c r="I213" s="1">
        <v>440</v>
      </c>
      <c r="J213" s="4"/>
    </row>
    <row r="214" spans="1:10" x14ac:dyDescent="0.25">
      <c r="A214" s="1">
        <v>1425</v>
      </c>
      <c r="B214" s="1" t="s">
        <v>4</v>
      </c>
      <c r="C214" s="1">
        <v>1</v>
      </c>
      <c r="D214" s="1">
        <v>480</v>
      </c>
      <c r="F214" s="1">
        <v>1426</v>
      </c>
      <c r="G214" s="1" t="s">
        <v>5</v>
      </c>
      <c r="H214" s="1">
        <v>0</v>
      </c>
      <c r="I214" s="1">
        <v>155</v>
      </c>
      <c r="J214" s="4"/>
    </row>
    <row r="215" spans="1:10" x14ac:dyDescent="0.25">
      <c r="A215" s="1">
        <v>1427</v>
      </c>
      <c r="B215" s="1" t="s">
        <v>4</v>
      </c>
      <c r="C215" s="1">
        <v>1</v>
      </c>
      <c r="D215" s="1">
        <v>350</v>
      </c>
      <c r="F215" s="1">
        <v>1428</v>
      </c>
      <c r="G215" s="1" t="s">
        <v>5</v>
      </c>
      <c r="H215" s="1">
        <v>1</v>
      </c>
      <c r="I215" s="1">
        <v>315</v>
      </c>
      <c r="J215" s="4"/>
    </row>
    <row r="216" spans="1:10" x14ac:dyDescent="0.25">
      <c r="A216" s="1">
        <v>1429</v>
      </c>
      <c r="B216" s="1" t="s">
        <v>4</v>
      </c>
      <c r="C216" s="1">
        <v>0</v>
      </c>
      <c r="D216" s="1">
        <v>185</v>
      </c>
      <c r="F216" s="1">
        <v>1430</v>
      </c>
      <c r="G216" s="1" t="s">
        <v>5</v>
      </c>
      <c r="H216" s="1">
        <v>1</v>
      </c>
      <c r="I216" s="1">
        <v>590</v>
      </c>
      <c r="J216" s="4"/>
    </row>
    <row r="217" spans="1:10" x14ac:dyDescent="0.25">
      <c r="A217" s="1">
        <v>1432</v>
      </c>
      <c r="B217" s="1" t="s">
        <v>4</v>
      </c>
      <c r="C217" s="1">
        <v>1</v>
      </c>
      <c r="D217" s="1">
        <v>530</v>
      </c>
      <c r="F217" s="1">
        <v>1431</v>
      </c>
      <c r="G217" s="1" t="s">
        <v>5</v>
      </c>
      <c r="H217" s="1">
        <v>1</v>
      </c>
      <c r="I217" s="1">
        <v>230</v>
      </c>
      <c r="J217" s="4"/>
    </row>
    <row r="218" spans="1:10" x14ac:dyDescent="0.25">
      <c r="A218" s="1">
        <v>1433</v>
      </c>
      <c r="B218" s="1" t="s">
        <v>4</v>
      </c>
      <c r="C218" s="1">
        <v>0</v>
      </c>
      <c r="D218" s="1">
        <v>145</v>
      </c>
      <c r="F218" s="1">
        <v>1434</v>
      </c>
      <c r="G218" s="1" t="s">
        <v>5</v>
      </c>
      <c r="H218" s="1">
        <v>1</v>
      </c>
      <c r="I218" s="1">
        <v>490</v>
      </c>
      <c r="J218" s="4"/>
    </row>
    <row r="219" spans="1:10" x14ac:dyDescent="0.25">
      <c r="A219" s="1">
        <v>1435</v>
      </c>
      <c r="B219" s="1" t="s">
        <v>4</v>
      </c>
      <c r="C219" s="1">
        <v>1</v>
      </c>
      <c r="D219" s="1">
        <v>410</v>
      </c>
      <c r="F219" s="1">
        <v>1436</v>
      </c>
      <c r="G219" s="1" t="s">
        <v>5</v>
      </c>
      <c r="H219" s="1">
        <v>0</v>
      </c>
      <c r="I219" s="1">
        <v>135</v>
      </c>
      <c r="J219" s="4"/>
    </row>
    <row r="220" spans="1:10" x14ac:dyDescent="0.25">
      <c r="A220" s="1">
        <v>1438</v>
      </c>
      <c r="B220" s="1" t="s">
        <v>4</v>
      </c>
      <c r="C220" s="1">
        <v>1</v>
      </c>
      <c r="D220" s="1">
        <v>300</v>
      </c>
      <c r="F220" s="1">
        <v>1437</v>
      </c>
      <c r="G220" s="1" t="s">
        <v>5</v>
      </c>
      <c r="H220" s="1">
        <v>1</v>
      </c>
      <c r="I220" s="1">
        <v>580</v>
      </c>
      <c r="J220" s="4"/>
    </row>
    <row r="221" spans="1:10" x14ac:dyDescent="0.25">
      <c r="A221" s="1">
        <v>1439</v>
      </c>
      <c r="B221" s="1" t="s">
        <v>4</v>
      </c>
      <c r="C221" s="1">
        <v>0</v>
      </c>
      <c r="D221" s="1">
        <v>180</v>
      </c>
      <c r="F221" s="1">
        <v>1440</v>
      </c>
      <c r="G221" s="1" t="s">
        <v>5</v>
      </c>
      <c r="H221" s="1">
        <v>1</v>
      </c>
      <c r="I221" s="1">
        <v>500</v>
      </c>
      <c r="J221" s="4"/>
    </row>
    <row r="222" spans="1:10" x14ac:dyDescent="0.25">
      <c r="A222" s="1">
        <v>1442</v>
      </c>
      <c r="B222" s="1" t="s">
        <v>4</v>
      </c>
      <c r="C222" s="1">
        <v>1</v>
      </c>
      <c r="D222" s="1">
        <v>550</v>
      </c>
      <c r="F222" s="1">
        <v>1441</v>
      </c>
      <c r="G222" s="1" t="s">
        <v>5</v>
      </c>
      <c r="H222" s="1">
        <v>1</v>
      </c>
      <c r="I222" s="1">
        <v>215</v>
      </c>
      <c r="J222" s="4"/>
    </row>
    <row r="223" spans="1:10" x14ac:dyDescent="0.25">
      <c r="A223" s="1">
        <v>1443</v>
      </c>
      <c r="B223" s="1" t="s">
        <v>4</v>
      </c>
      <c r="C223" s="1">
        <v>0</v>
      </c>
      <c r="D223" s="1">
        <v>150</v>
      </c>
      <c r="F223" s="1">
        <v>1444</v>
      </c>
      <c r="G223" s="1" t="s">
        <v>5</v>
      </c>
      <c r="H223" s="1">
        <v>1</v>
      </c>
      <c r="I223" s="1">
        <v>460</v>
      </c>
      <c r="J223" s="4"/>
    </row>
    <row r="224" spans="1:10" x14ac:dyDescent="0.25">
      <c r="A224" s="1">
        <v>1445</v>
      </c>
      <c r="B224" s="1" t="s">
        <v>4</v>
      </c>
      <c r="C224" s="1">
        <v>1</v>
      </c>
      <c r="D224" s="1">
        <v>470</v>
      </c>
      <c r="F224" s="1">
        <v>1446</v>
      </c>
      <c r="G224" s="1" t="s">
        <v>5</v>
      </c>
      <c r="H224" s="1">
        <v>0</v>
      </c>
      <c r="I224" s="1">
        <v>140</v>
      </c>
      <c r="J224" s="4"/>
    </row>
    <row r="225" spans="1:10" x14ac:dyDescent="0.25">
      <c r="A225" s="1">
        <v>1447</v>
      </c>
      <c r="B225" s="1" t="s">
        <v>4</v>
      </c>
      <c r="C225" s="1">
        <v>1</v>
      </c>
      <c r="D225" s="1">
        <v>390</v>
      </c>
      <c r="F225" s="1">
        <v>1448</v>
      </c>
      <c r="G225" s="1" t="s">
        <v>5</v>
      </c>
      <c r="H225" s="1">
        <v>1</v>
      </c>
      <c r="I225" s="1">
        <v>310</v>
      </c>
      <c r="J225" s="4"/>
    </row>
    <row r="226" spans="1:10" x14ac:dyDescent="0.25">
      <c r="A226" s="1">
        <v>1449</v>
      </c>
      <c r="B226" s="1" t="s">
        <v>4</v>
      </c>
      <c r="C226" s="1">
        <v>0</v>
      </c>
      <c r="D226" s="1">
        <v>175</v>
      </c>
      <c r="F226" s="1">
        <v>1450</v>
      </c>
      <c r="G226" s="1" t="s">
        <v>5</v>
      </c>
      <c r="H226" s="1">
        <v>1</v>
      </c>
      <c r="I226" s="1">
        <v>570</v>
      </c>
      <c r="J226" s="4"/>
    </row>
    <row r="227" spans="1:10" x14ac:dyDescent="0.25">
      <c r="A227" s="1">
        <v>1452</v>
      </c>
      <c r="B227" s="1" t="s">
        <v>4</v>
      </c>
      <c r="C227" s="1">
        <v>1</v>
      </c>
      <c r="D227" s="1">
        <v>520</v>
      </c>
      <c r="F227" s="1">
        <v>1451</v>
      </c>
      <c r="G227" s="1" t="s">
        <v>5</v>
      </c>
      <c r="H227" s="1">
        <v>1</v>
      </c>
      <c r="I227" s="1">
        <v>225</v>
      </c>
      <c r="J227" s="4"/>
    </row>
    <row r="228" spans="1:10" x14ac:dyDescent="0.25">
      <c r="A228" s="1">
        <v>1453</v>
      </c>
      <c r="B228" s="1" t="s">
        <v>4</v>
      </c>
      <c r="C228" s="1">
        <v>0</v>
      </c>
      <c r="D228" s="1">
        <v>135</v>
      </c>
      <c r="F228" s="1">
        <v>1454</v>
      </c>
      <c r="G228" s="1" t="s">
        <v>5</v>
      </c>
      <c r="H228" s="1">
        <v>1</v>
      </c>
      <c r="I228" s="1">
        <v>450</v>
      </c>
      <c r="J228" s="4"/>
    </row>
    <row r="229" spans="1:10" x14ac:dyDescent="0.25">
      <c r="A229" s="1">
        <v>1455</v>
      </c>
      <c r="B229" s="1" t="s">
        <v>4</v>
      </c>
      <c r="C229" s="1">
        <v>1</v>
      </c>
      <c r="D229" s="1">
        <v>440</v>
      </c>
      <c r="F229" s="1">
        <v>1456</v>
      </c>
      <c r="G229" s="1" t="s">
        <v>5</v>
      </c>
      <c r="H229" s="1">
        <v>0</v>
      </c>
      <c r="I229" s="1">
        <v>155</v>
      </c>
      <c r="J229" s="4"/>
    </row>
    <row r="230" spans="1:10" x14ac:dyDescent="0.25">
      <c r="A230" s="1">
        <v>1458</v>
      </c>
      <c r="B230" s="1" t="s">
        <v>4</v>
      </c>
      <c r="C230" s="1">
        <v>1</v>
      </c>
      <c r="D230" s="1">
        <v>280</v>
      </c>
      <c r="F230" s="1">
        <v>1457</v>
      </c>
      <c r="G230" s="1" t="s">
        <v>5</v>
      </c>
      <c r="H230" s="1">
        <v>1</v>
      </c>
      <c r="I230" s="1">
        <v>590</v>
      </c>
      <c r="J230" s="4"/>
    </row>
    <row r="231" spans="1:10" x14ac:dyDescent="0.25">
      <c r="A231" s="1">
        <v>1459</v>
      </c>
      <c r="B231" s="1" t="s">
        <v>4</v>
      </c>
      <c r="C231" s="1">
        <v>0</v>
      </c>
      <c r="D231" s="1">
        <v>190</v>
      </c>
      <c r="F231" s="1">
        <v>1460</v>
      </c>
      <c r="G231" s="1" t="s">
        <v>5</v>
      </c>
      <c r="H231" s="1">
        <v>0</v>
      </c>
      <c r="I231" s="1">
        <v>510</v>
      </c>
      <c r="J231" s="4"/>
    </row>
    <row r="232" spans="1:10" x14ac:dyDescent="0.25">
      <c r="A232" s="1">
        <v>1462</v>
      </c>
      <c r="B232" s="1" t="s">
        <v>4</v>
      </c>
      <c r="C232" s="1">
        <v>1</v>
      </c>
      <c r="D232" s="1">
        <v>540</v>
      </c>
      <c r="F232" s="1">
        <v>1461</v>
      </c>
      <c r="G232" s="1" t="s">
        <v>5</v>
      </c>
      <c r="H232" s="1">
        <v>1</v>
      </c>
      <c r="I232" s="1">
        <v>240</v>
      </c>
      <c r="J232" s="4"/>
    </row>
    <row r="233" spans="1:10" x14ac:dyDescent="0.25">
      <c r="A233" s="1">
        <v>1463</v>
      </c>
      <c r="B233" s="1" t="s">
        <v>4</v>
      </c>
      <c r="C233" s="1">
        <v>0</v>
      </c>
      <c r="D233" s="1">
        <v>125</v>
      </c>
      <c r="F233" s="1">
        <v>1464</v>
      </c>
      <c r="G233" s="1" t="s">
        <v>5</v>
      </c>
      <c r="H233" s="1">
        <v>1</v>
      </c>
      <c r="I233" s="1">
        <v>430</v>
      </c>
      <c r="J233" s="4"/>
    </row>
    <row r="234" spans="1:10" x14ac:dyDescent="0.25">
      <c r="A234" s="1">
        <v>1465</v>
      </c>
      <c r="B234" s="1" t="s">
        <v>4</v>
      </c>
      <c r="C234" s="1">
        <v>1</v>
      </c>
      <c r="D234" s="1">
        <v>480</v>
      </c>
      <c r="F234" s="1">
        <v>1466</v>
      </c>
      <c r="G234" s="1" t="s">
        <v>5</v>
      </c>
      <c r="H234" s="1">
        <v>0</v>
      </c>
      <c r="I234" s="1">
        <v>160</v>
      </c>
      <c r="J234" s="4"/>
    </row>
    <row r="235" spans="1:10" x14ac:dyDescent="0.25">
      <c r="A235" s="1">
        <v>1467</v>
      </c>
      <c r="B235" s="1" t="s">
        <v>4</v>
      </c>
      <c r="C235" s="1">
        <v>1</v>
      </c>
      <c r="D235" s="1">
        <v>370</v>
      </c>
      <c r="F235" s="1">
        <v>1468</v>
      </c>
      <c r="G235" s="1" t="s">
        <v>5</v>
      </c>
      <c r="H235" s="1">
        <v>1</v>
      </c>
      <c r="I235" s="1">
        <v>305</v>
      </c>
      <c r="J235" s="4"/>
    </row>
    <row r="236" spans="1:10" x14ac:dyDescent="0.25">
      <c r="A236" s="1">
        <v>1469</v>
      </c>
      <c r="B236" s="1" t="s">
        <v>4</v>
      </c>
      <c r="C236" s="1">
        <v>0</v>
      </c>
      <c r="D236" s="1">
        <v>185</v>
      </c>
      <c r="F236" s="1">
        <v>1470</v>
      </c>
      <c r="G236" s="1" t="s">
        <v>5</v>
      </c>
      <c r="H236" s="1">
        <v>1</v>
      </c>
      <c r="I236" s="1">
        <v>580</v>
      </c>
      <c r="J236" s="4"/>
    </row>
    <row r="237" spans="1:10" x14ac:dyDescent="0.25">
      <c r="A237" s="1">
        <v>1472</v>
      </c>
      <c r="B237" s="1" t="s">
        <v>4</v>
      </c>
      <c r="C237" s="1">
        <v>1</v>
      </c>
      <c r="D237" s="1">
        <v>530</v>
      </c>
      <c r="F237" s="1">
        <v>1471</v>
      </c>
      <c r="G237" s="1" t="s">
        <v>5</v>
      </c>
      <c r="H237" s="1">
        <v>1</v>
      </c>
      <c r="I237" s="1">
        <v>210</v>
      </c>
      <c r="J237" s="4"/>
    </row>
    <row r="238" spans="1:10" x14ac:dyDescent="0.25">
      <c r="A238" s="1">
        <v>1473</v>
      </c>
      <c r="B238" s="1" t="s">
        <v>4</v>
      </c>
      <c r="C238" s="1">
        <v>0</v>
      </c>
      <c r="D238" s="1">
        <v>140</v>
      </c>
      <c r="F238" s="1">
        <v>1474</v>
      </c>
      <c r="G238" s="1" t="s">
        <v>5</v>
      </c>
      <c r="H238" s="1">
        <v>1</v>
      </c>
      <c r="I238" s="1">
        <v>490</v>
      </c>
      <c r="J238" s="4"/>
    </row>
    <row r="239" spans="1:10" x14ac:dyDescent="0.25">
      <c r="A239" s="1">
        <v>1475</v>
      </c>
      <c r="B239" s="1" t="s">
        <v>4</v>
      </c>
      <c r="C239" s="1">
        <v>1</v>
      </c>
      <c r="D239" s="1">
        <v>420</v>
      </c>
      <c r="F239" s="1">
        <v>1476</v>
      </c>
      <c r="G239" s="1" t="s">
        <v>5</v>
      </c>
      <c r="H239" s="1">
        <v>0</v>
      </c>
      <c r="I239" s="1">
        <v>130</v>
      </c>
      <c r="J239" s="4"/>
    </row>
    <row r="240" spans="1:10" x14ac:dyDescent="0.25">
      <c r="A240" s="1">
        <v>1478</v>
      </c>
      <c r="B240" s="1" t="s">
        <v>4</v>
      </c>
      <c r="C240" s="1">
        <v>1</v>
      </c>
      <c r="D240" s="1">
        <v>320</v>
      </c>
      <c r="F240" s="1">
        <v>1477</v>
      </c>
      <c r="G240" s="1" t="s">
        <v>5</v>
      </c>
      <c r="H240" s="1">
        <v>1</v>
      </c>
      <c r="I240" s="1">
        <v>550</v>
      </c>
      <c r="J240" s="4"/>
    </row>
    <row r="241" spans="1:10" x14ac:dyDescent="0.25">
      <c r="A241" s="1">
        <v>1479</v>
      </c>
      <c r="B241" s="1" t="s">
        <v>4</v>
      </c>
      <c r="C241" s="1">
        <v>0</v>
      </c>
      <c r="D241" s="1">
        <v>180</v>
      </c>
      <c r="F241" s="1">
        <v>1480</v>
      </c>
      <c r="G241" s="1" t="s">
        <v>5</v>
      </c>
      <c r="H241" s="1">
        <v>1</v>
      </c>
      <c r="I241" s="1">
        <v>500</v>
      </c>
      <c r="J241" s="4"/>
    </row>
    <row r="242" spans="1:10" x14ac:dyDescent="0.25">
      <c r="A242" s="1">
        <v>1482</v>
      </c>
      <c r="B242" s="1" t="s">
        <v>4</v>
      </c>
      <c r="C242" s="1">
        <v>1</v>
      </c>
      <c r="D242" s="1">
        <v>560</v>
      </c>
      <c r="F242" s="1">
        <v>1481</v>
      </c>
      <c r="G242" s="1" t="s">
        <v>5</v>
      </c>
      <c r="H242" s="1">
        <v>1</v>
      </c>
      <c r="I242" s="1">
        <v>235</v>
      </c>
      <c r="J242" s="4"/>
    </row>
    <row r="243" spans="1:10" x14ac:dyDescent="0.25">
      <c r="A243" s="1">
        <v>1483</v>
      </c>
      <c r="B243" s="1" t="s">
        <v>4</v>
      </c>
      <c r="C243" s="1">
        <v>0</v>
      </c>
      <c r="D243" s="1">
        <v>145</v>
      </c>
      <c r="F243" s="1">
        <v>1484</v>
      </c>
      <c r="G243" s="1" t="s">
        <v>5</v>
      </c>
      <c r="H243" s="1">
        <v>1</v>
      </c>
      <c r="I243" s="1">
        <v>460</v>
      </c>
      <c r="J243" s="4"/>
    </row>
    <row r="244" spans="1:10" x14ac:dyDescent="0.25">
      <c r="A244" s="1">
        <v>1485</v>
      </c>
      <c r="B244" s="1" t="s">
        <v>4</v>
      </c>
      <c r="C244" s="1">
        <v>1</v>
      </c>
      <c r="D244" s="1">
        <v>450</v>
      </c>
      <c r="F244" s="1">
        <v>1486</v>
      </c>
      <c r="G244" s="1" t="s">
        <v>5</v>
      </c>
      <c r="H244" s="1">
        <v>0</v>
      </c>
      <c r="I244" s="1">
        <v>150</v>
      </c>
      <c r="J244" s="4"/>
    </row>
    <row r="245" spans="1:10" x14ac:dyDescent="0.25">
      <c r="A245" s="1">
        <v>1487</v>
      </c>
      <c r="B245" s="1" t="s">
        <v>4</v>
      </c>
      <c r="C245" s="1">
        <v>1</v>
      </c>
      <c r="D245" s="1">
        <v>380</v>
      </c>
      <c r="F245" s="1">
        <v>1488</v>
      </c>
      <c r="G245" s="1" t="s">
        <v>5</v>
      </c>
      <c r="H245" s="1">
        <v>1</v>
      </c>
      <c r="I245" s="1">
        <v>315</v>
      </c>
      <c r="J245" s="4"/>
    </row>
    <row r="246" spans="1:10" x14ac:dyDescent="0.25">
      <c r="A246" s="1">
        <v>1489</v>
      </c>
      <c r="B246" s="1" t="s">
        <v>4</v>
      </c>
      <c r="C246" s="1">
        <v>0</v>
      </c>
      <c r="D246" s="1">
        <v>175</v>
      </c>
      <c r="F246" s="1">
        <v>1490</v>
      </c>
      <c r="G246" s="1" t="s">
        <v>5</v>
      </c>
      <c r="H246" s="1">
        <v>1</v>
      </c>
      <c r="I246" s="1">
        <v>570</v>
      </c>
      <c r="J246" s="4"/>
    </row>
    <row r="247" spans="1:10" x14ac:dyDescent="0.25">
      <c r="A247" s="1">
        <v>1492</v>
      </c>
      <c r="B247" s="1" t="s">
        <v>4</v>
      </c>
      <c r="C247" s="1">
        <v>1</v>
      </c>
      <c r="D247" s="1">
        <v>510</v>
      </c>
      <c r="F247" s="1">
        <v>1491</v>
      </c>
      <c r="G247" s="1" t="s">
        <v>5</v>
      </c>
      <c r="H247" s="1">
        <v>1</v>
      </c>
      <c r="I247" s="1">
        <v>220</v>
      </c>
      <c r="J247" s="4"/>
    </row>
    <row r="248" spans="1:10" x14ac:dyDescent="0.25">
      <c r="A248" s="1">
        <v>1493</v>
      </c>
      <c r="B248" s="1" t="s">
        <v>4</v>
      </c>
      <c r="C248" s="1">
        <v>0</v>
      </c>
      <c r="D248" s="1">
        <v>135</v>
      </c>
      <c r="F248" s="1">
        <v>1494</v>
      </c>
      <c r="G248" s="1" t="s">
        <v>5</v>
      </c>
      <c r="H248" s="1">
        <v>1</v>
      </c>
      <c r="I248" s="1">
        <v>480</v>
      </c>
      <c r="J248" s="4"/>
    </row>
    <row r="249" spans="1:10" x14ac:dyDescent="0.25">
      <c r="A249" s="1">
        <v>1495</v>
      </c>
      <c r="B249" s="1" t="s">
        <v>4</v>
      </c>
      <c r="C249" s="1">
        <v>1</v>
      </c>
      <c r="D249" s="1">
        <v>430</v>
      </c>
      <c r="F249" s="1">
        <v>1496</v>
      </c>
      <c r="G249" s="1" t="s">
        <v>5</v>
      </c>
      <c r="H249" s="1">
        <v>0</v>
      </c>
      <c r="I249" s="1">
        <v>140</v>
      </c>
      <c r="J249" s="4"/>
    </row>
    <row r="250" spans="1:10" x14ac:dyDescent="0.25">
      <c r="A250" s="1">
        <v>1498</v>
      </c>
      <c r="B250" s="1" t="s">
        <v>4</v>
      </c>
      <c r="C250" s="1">
        <v>1</v>
      </c>
      <c r="D250" s="1">
        <v>290</v>
      </c>
      <c r="F250" s="1">
        <v>1497</v>
      </c>
      <c r="G250" s="1" t="s">
        <v>5</v>
      </c>
      <c r="H250" s="1">
        <v>1</v>
      </c>
      <c r="I250" s="1">
        <v>590</v>
      </c>
      <c r="J250" s="4"/>
    </row>
    <row r="251" spans="1:10" x14ac:dyDescent="0.25">
      <c r="A251" s="1">
        <v>1499</v>
      </c>
      <c r="B251" s="1" t="s">
        <v>4</v>
      </c>
      <c r="C251" s="1">
        <v>0</v>
      </c>
      <c r="D251" s="1">
        <v>185</v>
      </c>
      <c r="F251" s="1">
        <v>1500</v>
      </c>
      <c r="G251" s="1" t="s">
        <v>5</v>
      </c>
      <c r="H251" s="1">
        <v>1</v>
      </c>
      <c r="I251" s="1">
        <v>520</v>
      </c>
      <c r="J251" s="4"/>
    </row>
    <row r="252" spans="1:10" x14ac:dyDescent="0.25">
      <c r="A252" s="1">
        <v>1502</v>
      </c>
      <c r="B252" s="1" t="s">
        <v>4</v>
      </c>
      <c r="C252" s="1">
        <v>1</v>
      </c>
      <c r="D252" s="1">
        <v>540</v>
      </c>
      <c r="F252" s="1">
        <v>1501</v>
      </c>
      <c r="G252" s="1" t="s">
        <v>5</v>
      </c>
      <c r="H252" s="1">
        <v>1</v>
      </c>
      <c r="I252" s="1">
        <v>240</v>
      </c>
      <c r="J252" s="4"/>
    </row>
    <row r="253" spans="1:10" x14ac:dyDescent="0.25">
      <c r="A253" s="1">
        <v>1503</v>
      </c>
      <c r="B253" s="1" t="s">
        <v>4</v>
      </c>
      <c r="C253" s="1">
        <v>0</v>
      </c>
      <c r="D253" s="1">
        <v>130</v>
      </c>
      <c r="F253" s="1">
        <v>1504</v>
      </c>
      <c r="G253" s="1" t="s">
        <v>5</v>
      </c>
      <c r="H253" s="1">
        <v>1</v>
      </c>
      <c r="I253" s="1">
        <v>470</v>
      </c>
      <c r="J253" s="4"/>
    </row>
    <row r="254" spans="1:10" x14ac:dyDescent="0.25">
      <c r="A254" s="1">
        <v>1505</v>
      </c>
      <c r="B254" s="1" t="s">
        <v>4</v>
      </c>
      <c r="C254" s="1">
        <v>1</v>
      </c>
      <c r="D254" s="1">
        <v>410</v>
      </c>
      <c r="F254" s="1">
        <v>1506</v>
      </c>
      <c r="G254" s="1" t="s">
        <v>5</v>
      </c>
      <c r="H254" s="1">
        <v>0</v>
      </c>
      <c r="I254" s="1">
        <v>155</v>
      </c>
      <c r="J254" s="4"/>
    </row>
    <row r="255" spans="1:10" x14ac:dyDescent="0.25">
      <c r="A255" s="1">
        <v>1507</v>
      </c>
      <c r="B255" s="1" t="s">
        <v>4</v>
      </c>
      <c r="C255" s="1">
        <v>1</v>
      </c>
      <c r="D255" s="1">
        <v>390</v>
      </c>
      <c r="F255" s="1">
        <v>1508</v>
      </c>
      <c r="G255" s="1" t="s">
        <v>5</v>
      </c>
      <c r="H255" s="1">
        <v>1</v>
      </c>
      <c r="I255" s="1">
        <v>320</v>
      </c>
      <c r="J255" s="4"/>
    </row>
    <row r="256" spans="1:10" x14ac:dyDescent="0.25">
      <c r="A256" s="1">
        <v>1509</v>
      </c>
      <c r="B256" s="1" t="s">
        <v>4</v>
      </c>
      <c r="C256" s="1">
        <v>0</v>
      </c>
      <c r="D256" s="1">
        <v>180</v>
      </c>
      <c r="F256" s="1">
        <v>1510</v>
      </c>
      <c r="G256" s="1" t="s">
        <v>5</v>
      </c>
      <c r="H256" s="1">
        <v>1</v>
      </c>
      <c r="I256" s="1">
        <v>580</v>
      </c>
      <c r="J256" s="4"/>
    </row>
    <row r="257" spans="1:10" x14ac:dyDescent="0.25">
      <c r="A257" s="1">
        <v>1512</v>
      </c>
      <c r="B257" s="1" t="s">
        <v>4</v>
      </c>
      <c r="C257" s="1">
        <v>1</v>
      </c>
      <c r="D257" s="1">
        <v>520</v>
      </c>
      <c r="F257" s="1">
        <v>1511</v>
      </c>
      <c r="G257" s="1" t="s">
        <v>5</v>
      </c>
      <c r="H257" s="1">
        <v>1</v>
      </c>
      <c r="I257" s="1">
        <v>225</v>
      </c>
      <c r="J257" s="4"/>
    </row>
    <row r="258" spans="1:10" x14ac:dyDescent="0.25">
      <c r="A258" s="1">
        <v>1513</v>
      </c>
      <c r="B258" s="1" t="s">
        <v>4</v>
      </c>
      <c r="C258" s="1">
        <v>0</v>
      </c>
      <c r="D258" s="1">
        <v>145</v>
      </c>
      <c r="F258" s="1">
        <v>1514</v>
      </c>
      <c r="G258" s="1" t="s">
        <v>5</v>
      </c>
      <c r="H258" s="1">
        <v>1</v>
      </c>
      <c r="I258" s="1">
        <v>450</v>
      </c>
      <c r="J258" s="4"/>
    </row>
    <row r="259" spans="1:10" x14ac:dyDescent="0.25">
      <c r="A259" s="1">
        <v>1515</v>
      </c>
      <c r="B259" s="1" t="s">
        <v>4</v>
      </c>
      <c r="C259" s="1">
        <v>1</v>
      </c>
      <c r="D259" s="1">
        <v>460</v>
      </c>
      <c r="F259" s="1">
        <v>1516</v>
      </c>
      <c r="G259" s="1" t="s">
        <v>5</v>
      </c>
      <c r="H259" s="1">
        <v>0</v>
      </c>
      <c r="I259" s="1">
        <v>135</v>
      </c>
      <c r="J259" s="4"/>
    </row>
    <row r="260" spans="1:10" x14ac:dyDescent="0.25">
      <c r="A260" s="1">
        <v>1518</v>
      </c>
      <c r="B260" s="1" t="s">
        <v>4</v>
      </c>
      <c r="C260" s="1">
        <v>1</v>
      </c>
      <c r="D260" s="1">
        <v>300</v>
      </c>
      <c r="F260" s="1">
        <v>1517</v>
      </c>
      <c r="G260" s="1" t="s">
        <v>5</v>
      </c>
      <c r="H260" s="1">
        <v>1</v>
      </c>
      <c r="I260" s="1">
        <v>570</v>
      </c>
      <c r="J260" s="4"/>
    </row>
    <row r="261" spans="1:10" x14ac:dyDescent="0.25">
      <c r="A261" s="1">
        <v>1519</v>
      </c>
      <c r="B261" s="1" t="s">
        <v>4</v>
      </c>
      <c r="C261" s="1">
        <v>0</v>
      </c>
      <c r="D261" s="1">
        <v>190</v>
      </c>
      <c r="F261" s="1">
        <v>1520</v>
      </c>
      <c r="G261" s="1" t="s">
        <v>5</v>
      </c>
      <c r="H261" s="1">
        <v>1</v>
      </c>
      <c r="I261" s="1">
        <v>510</v>
      </c>
      <c r="J261" s="4"/>
    </row>
    <row r="262" spans="1:10" x14ac:dyDescent="0.25">
      <c r="A262" s="1">
        <v>1522</v>
      </c>
      <c r="B262" s="1" t="s">
        <v>4</v>
      </c>
      <c r="C262" s="1">
        <v>1</v>
      </c>
      <c r="D262" s="1">
        <v>550</v>
      </c>
      <c r="F262" s="1">
        <v>1521</v>
      </c>
      <c r="G262" s="1" t="s">
        <v>5</v>
      </c>
      <c r="H262" s="1">
        <v>1</v>
      </c>
      <c r="I262" s="1">
        <v>235</v>
      </c>
      <c r="J262" s="4"/>
    </row>
    <row r="263" spans="1:10" x14ac:dyDescent="0.25">
      <c r="A263" s="1">
        <v>1523</v>
      </c>
      <c r="B263" s="1" t="s">
        <v>4</v>
      </c>
      <c r="C263" s="1">
        <v>0</v>
      </c>
      <c r="D263" s="1">
        <v>125</v>
      </c>
      <c r="F263" s="1">
        <v>1524</v>
      </c>
      <c r="G263" s="1" t="s">
        <v>5</v>
      </c>
      <c r="H263" s="1">
        <v>1</v>
      </c>
      <c r="I263" s="1">
        <v>440</v>
      </c>
      <c r="J263" s="4"/>
    </row>
    <row r="264" spans="1:10" x14ac:dyDescent="0.25">
      <c r="A264" s="1">
        <v>1525</v>
      </c>
      <c r="B264" s="1" t="s">
        <v>4</v>
      </c>
      <c r="C264" s="1">
        <v>1</v>
      </c>
      <c r="D264" s="1">
        <v>480</v>
      </c>
      <c r="F264" s="1">
        <v>1526</v>
      </c>
      <c r="G264" s="1" t="s">
        <v>5</v>
      </c>
      <c r="H264" s="1">
        <v>0</v>
      </c>
      <c r="I264" s="1">
        <v>160</v>
      </c>
      <c r="J264" s="4"/>
    </row>
    <row r="265" spans="1:10" x14ac:dyDescent="0.25">
      <c r="A265" s="1">
        <v>1527</v>
      </c>
      <c r="B265" s="1" t="s">
        <v>4</v>
      </c>
      <c r="C265" s="1">
        <v>1</v>
      </c>
      <c r="D265" s="1">
        <v>370</v>
      </c>
      <c r="F265" s="1">
        <v>1528</v>
      </c>
      <c r="G265" s="1" t="s">
        <v>5</v>
      </c>
      <c r="H265" s="1">
        <v>1</v>
      </c>
      <c r="I265" s="1">
        <v>310</v>
      </c>
      <c r="J265" s="4"/>
    </row>
    <row r="266" spans="1:10" x14ac:dyDescent="0.25">
      <c r="A266" s="1">
        <v>1529</v>
      </c>
      <c r="B266" s="1" t="s">
        <v>4</v>
      </c>
      <c r="C266" s="1">
        <v>0</v>
      </c>
      <c r="D266" s="1">
        <v>185</v>
      </c>
      <c r="F266" s="1">
        <v>1530</v>
      </c>
      <c r="G266" s="1" t="s">
        <v>5</v>
      </c>
      <c r="H266" s="1">
        <v>1</v>
      </c>
      <c r="I266" s="1">
        <v>590</v>
      </c>
      <c r="J266" s="4"/>
    </row>
    <row r="267" spans="1:10" x14ac:dyDescent="0.25">
      <c r="A267" s="1">
        <v>1532</v>
      </c>
      <c r="B267" s="1" t="s">
        <v>4</v>
      </c>
      <c r="C267" s="1">
        <v>1</v>
      </c>
      <c r="D267" s="1">
        <v>530</v>
      </c>
      <c r="F267" s="1">
        <v>1531</v>
      </c>
      <c r="G267" s="1" t="s">
        <v>5</v>
      </c>
      <c r="H267" s="1">
        <v>1</v>
      </c>
      <c r="I267" s="1">
        <v>215</v>
      </c>
      <c r="J267" s="4"/>
    </row>
    <row r="268" spans="1:10" x14ac:dyDescent="0.25">
      <c r="A268" s="1">
        <v>1533</v>
      </c>
      <c r="B268" s="1" t="s">
        <v>4</v>
      </c>
      <c r="C268" s="1">
        <v>0</v>
      </c>
      <c r="D268" s="1">
        <v>140</v>
      </c>
      <c r="F268" s="1">
        <v>1534</v>
      </c>
      <c r="G268" s="1" t="s">
        <v>5</v>
      </c>
      <c r="H268" s="1">
        <v>1</v>
      </c>
      <c r="I268" s="1">
        <v>490</v>
      </c>
      <c r="J268" s="4"/>
    </row>
    <row r="269" spans="1:10" x14ac:dyDescent="0.25">
      <c r="A269" s="1">
        <v>1535</v>
      </c>
      <c r="B269" s="1" t="s">
        <v>4</v>
      </c>
      <c r="C269" s="1">
        <v>1</v>
      </c>
      <c r="D269" s="1">
        <v>430</v>
      </c>
      <c r="F269" s="1">
        <v>1536</v>
      </c>
      <c r="G269" s="1" t="s">
        <v>5</v>
      </c>
      <c r="H269" s="1">
        <v>0</v>
      </c>
      <c r="I269" s="1">
        <v>150</v>
      </c>
      <c r="J269" s="4"/>
    </row>
    <row r="270" spans="1:10" x14ac:dyDescent="0.25">
      <c r="A270" s="1">
        <v>1537</v>
      </c>
      <c r="B270" s="1" t="s">
        <v>4</v>
      </c>
      <c r="C270" s="1">
        <v>1</v>
      </c>
      <c r="D270" s="1">
        <v>380</v>
      </c>
      <c r="F270" s="1">
        <v>1538</v>
      </c>
      <c r="G270" s="1" t="s">
        <v>5</v>
      </c>
      <c r="H270" s="1">
        <v>1</v>
      </c>
      <c r="I270" s="1">
        <v>305</v>
      </c>
      <c r="J270" s="4"/>
    </row>
    <row r="271" spans="1:10" x14ac:dyDescent="0.25">
      <c r="A271" s="1">
        <v>1539</v>
      </c>
      <c r="B271" s="1" t="s">
        <v>4</v>
      </c>
      <c r="C271" s="1">
        <v>0</v>
      </c>
      <c r="D271" s="1">
        <v>175</v>
      </c>
      <c r="F271" s="1">
        <v>1540</v>
      </c>
      <c r="G271" s="1" t="s">
        <v>5</v>
      </c>
      <c r="H271" s="1">
        <v>1</v>
      </c>
      <c r="I271" s="1">
        <v>560</v>
      </c>
      <c r="J271" s="4"/>
    </row>
    <row r="272" spans="1:10" x14ac:dyDescent="0.25">
      <c r="A272" s="1">
        <v>1542</v>
      </c>
      <c r="B272" s="1" t="s">
        <v>4</v>
      </c>
      <c r="C272" s="1">
        <v>1</v>
      </c>
      <c r="D272" s="1">
        <v>500</v>
      </c>
      <c r="F272" s="1">
        <v>1541</v>
      </c>
      <c r="G272" s="1" t="s">
        <v>5</v>
      </c>
      <c r="H272" s="1">
        <v>1</v>
      </c>
      <c r="I272" s="1">
        <v>230</v>
      </c>
      <c r="J272" s="4"/>
    </row>
    <row r="273" spans="1:10" x14ac:dyDescent="0.25">
      <c r="A273" s="1">
        <v>1543</v>
      </c>
      <c r="B273" s="1" t="s">
        <v>4</v>
      </c>
      <c r="C273" s="1">
        <v>0</v>
      </c>
      <c r="D273" s="1">
        <v>135</v>
      </c>
      <c r="F273" s="1">
        <v>1544</v>
      </c>
      <c r="G273" s="1" t="s">
        <v>5</v>
      </c>
      <c r="H273" s="1">
        <v>1</v>
      </c>
      <c r="I273" s="1">
        <v>460</v>
      </c>
      <c r="J273" s="4"/>
    </row>
    <row r="274" spans="1:10" x14ac:dyDescent="0.25">
      <c r="A274" s="1">
        <v>1545</v>
      </c>
      <c r="B274" s="1" t="s">
        <v>4</v>
      </c>
      <c r="C274" s="1">
        <v>1</v>
      </c>
      <c r="D274" s="1">
        <v>470</v>
      </c>
      <c r="F274" s="1">
        <v>1546</v>
      </c>
      <c r="G274" s="1" t="s">
        <v>5</v>
      </c>
      <c r="H274" s="1">
        <v>0</v>
      </c>
      <c r="I274" s="1">
        <v>140</v>
      </c>
      <c r="J274" s="4"/>
    </row>
    <row r="275" spans="1:10" x14ac:dyDescent="0.25">
      <c r="A275" s="1">
        <v>1547</v>
      </c>
      <c r="B275" s="1" t="s">
        <v>4</v>
      </c>
      <c r="C275" s="1">
        <v>1</v>
      </c>
      <c r="D275" s="1">
        <v>420</v>
      </c>
      <c r="F275" s="1">
        <v>1548</v>
      </c>
      <c r="G275" s="1" t="s">
        <v>5</v>
      </c>
      <c r="H275" s="1">
        <v>1</v>
      </c>
      <c r="I275" s="1">
        <v>315</v>
      </c>
      <c r="J275" s="4"/>
    </row>
    <row r="276" spans="1:10" x14ac:dyDescent="0.25">
      <c r="A276" s="1">
        <v>1549</v>
      </c>
      <c r="B276" s="1" t="s">
        <v>4</v>
      </c>
      <c r="C276" s="1">
        <v>0</v>
      </c>
      <c r="D276" s="1">
        <v>180</v>
      </c>
      <c r="F276" s="1">
        <v>1550</v>
      </c>
      <c r="G276" s="1" t="s">
        <v>5</v>
      </c>
      <c r="H276" s="1">
        <v>1</v>
      </c>
      <c r="I276" s="1">
        <v>570</v>
      </c>
      <c r="J276" s="4"/>
    </row>
    <row r="277" spans="1:10" x14ac:dyDescent="0.25">
      <c r="A277" s="1">
        <v>1552</v>
      </c>
      <c r="B277" s="1" t="s">
        <v>4</v>
      </c>
      <c r="C277" s="1">
        <v>1</v>
      </c>
      <c r="D277" s="1">
        <v>540</v>
      </c>
      <c r="F277" s="1">
        <v>1551</v>
      </c>
      <c r="G277" s="1" t="s">
        <v>5</v>
      </c>
      <c r="H277" s="1">
        <v>1</v>
      </c>
      <c r="I277" s="1">
        <v>245</v>
      </c>
      <c r="J277" s="4"/>
    </row>
    <row r="278" spans="1:10" x14ac:dyDescent="0.25">
      <c r="A278" s="1">
        <v>1553</v>
      </c>
      <c r="B278" s="1" t="s">
        <v>4</v>
      </c>
      <c r="C278" s="1">
        <v>0</v>
      </c>
      <c r="D278" s="1">
        <v>150</v>
      </c>
      <c r="F278" s="1">
        <v>1554</v>
      </c>
      <c r="G278" s="1" t="s">
        <v>5</v>
      </c>
      <c r="H278" s="1">
        <v>1</v>
      </c>
      <c r="I278" s="1">
        <v>480</v>
      </c>
      <c r="J278" s="4"/>
    </row>
    <row r="279" spans="1:10" x14ac:dyDescent="0.25">
      <c r="A279" s="1">
        <v>1555</v>
      </c>
      <c r="B279" s="1" t="s">
        <v>4</v>
      </c>
      <c r="C279" s="1">
        <v>1</v>
      </c>
      <c r="D279" s="1">
        <v>440</v>
      </c>
      <c r="F279" s="1">
        <v>1556</v>
      </c>
      <c r="G279" s="1" t="s">
        <v>5</v>
      </c>
      <c r="H279" s="1">
        <v>0</v>
      </c>
      <c r="I279" s="1">
        <v>130</v>
      </c>
      <c r="J279" s="4"/>
    </row>
    <row r="280" spans="1:10" x14ac:dyDescent="0.25">
      <c r="A280" s="1">
        <v>1558</v>
      </c>
      <c r="B280" s="1" t="s">
        <v>4</v>
      </c>
      <c r="C280" s="1">
        <v>1</v>
      </c>
      <c r="D280" s="1">
        <v>290</v>
      </c>
      <c r="F280" s="1">
        <v>1557</v>
      </c>
      <c r="G280" s="1" t="s">
        <v>5</v>
      </c>
      <c r="H280" s="1">
        <v>1</v>
      </c>
      <c r="I280" s="1">
        <v>550</v>
      </c>
      <c r="J280" s="4"/>
    </row>
    <row r="281" spans="1:10" x14ac:dyDescent="0.25">
      <c r="A281" s="1">
        <v>1559</v>
      </c>
      <c r="B281" s="1" t="s">
        <v>4</v>
      </c>
      <c r="C281" s="1">
        <v>0</v>
      </c>
      <c r="D281" s="1">
        <v>185</v>
      </c>
      <c r="F281" s="1">
        <v>1560</v>
      </c>
      <c r="G281" s="1" t="s">
        <v>5</v>
      </c>
      <c r="H281" s="1">
        <v>1</v>
      </c>
      <c r="I281" s="1">
        <v>520</v>
      </c>
      <c r="J281" s="4"/>
    </row>
    <row r="282" spans="1:10" x14ac:dyDescent="0.25">
      <c r="A282" s="1">
        <v>1562</v>
      </c>
      <c r="B282" s="1" t="s">
        <v>4</v>
      </c>
      <c r="C282" s="1">
        <v>1</v>
      </c>
      <c r="D282" s="1">
        <v>560</v>
      </c>
      <c r="F282" s="1">
        <v>1561</v>
      </c>
      <c r="G282" s="1" t="s">
        <v>5</v>
      </c>
      <c r="H282" s="1">
        <v>1</v>
      </c>
      <c r="I282" s="1">
        <v>220</v>
      </c>
      <c r="J282" s="4"/>
    </row>
    <row r="283" spans="1:10" x14ac:dyDescent="0.25">
      <c r="A283" s="1">
        <v>1563</v>
      </c>
      <c r="B283" s="1" t="s">
        <v>4</v>
      </c>
      <c r="C283" s="1">
        <v>0</v>
      </c>
      <c r="D283" s="1">
        <v>140</v>
      </c>
      <c r="F283" s="1">
        <v>1564</v>
      </c>
      <c r="G283" s="1" t="s">
        <v>5</v>
      </c>
      <c r="H283" s="1">
        <v>1</v>
      </c>
      <c r="I283" s="1">
        <v>460</v>
      </c>
      <c r="J283" s="4"/>
    </row>
    <row r="284" spans="1:10" x14ac:dyDescent="0.25">
      <c r="A284" s="1">
        <v>1565</v>
      </c>
      <c r="B284" s="1" t="s">
        <v>4</v>
      </c>
      <c r="C284" s="1">
        <v>1</v>
      </c>
      <c r="D284" s="1">
        <v>450</v>
      </c>
      <c r="F284" s="1">
        <v>1566</v>
      </c>
      <c r="G284" s="1" t="s">
        <v>5</v>
      </c>
      <c r="H284" s="1">
        <v>0</v>
      </c>
      <c r="I284" s="1">
        <v>155</v>
      </c>
      <c r="J284" s="4"/>
    </row>
    <row r="285" spans="1:10" x14ac:dyDescent="0.25">
      <c r="A285" s="1">
        <v>1567</v>
      </c>
      <c r="B285" s="1" t="s">
        <v>4</v>
      </c>
      <c r="C285" s="1">
        <v>1</v>
      </c>
      <c r="D285" s="1">
        <v>390</v>
      </c>
      <c r="F285" s="1">
        <v>1568</v>
      </c>
      <c r="G285" s="1" t="s">
        <v>5</v>
      </c>
      <c r="H285" s="1">
        <v>1</v>
      </c>
      <c r="I285" s="1">
        <v>325</v>
      </c>
      <c r="J285" s="4"/>
    </row>
    <row r="286" spans="1:10" x14ac:dyDescent="0.25">
      <c r="A286" s="1">
        <v>1569</v>
      </c>
      <c r="B286" s="1" t="s">
        <v>4</v>
      </c>
      <c r="C286" s="1">
        <v>0</v>
      </c>
      <c r="D286" s="1">
        <v>175</v>
      </c>
      <c r="F286" s="1">
        <v>1570</v>
      </c>
      <c r="G286" s="1" t="s">
        <v>5</v>
      </c>
      <c r="H286" s="1">
        <v>1</v>
      </c>
      <c r="I286" s="1">
        <v>580</v>
      </c>
      <c r="J286" s="4"/>
    </row>
    <row r="287" spans="1:10" x14ac:dyDescent="0.25">
      <c r="A287" s="1">
        <v>1572</v>
      </c>
      <c r="B287" s="1" t="s">
        <v>4</v>
      </c>
      <c r="C287" s="1">
        <v>1</v>
      </c>
      <c r="D287" s="1">
        <v>510</v>
      </c>
      <c r="F287" s="1">
        <v>1571</v>
      </c>
      <c r="G287" s="1" t="s">
        <v>5</v>
      </c>
      <c r="H287" s="1">
        <v>1</v>
      </c>
      <c r="I287" s="1">
        <v>235</v>
      </c>
      <c r="J287" s="4"/>
    </row>
    <row r="288" spans="1:10" x14ac:dyDescent="0.25">
      <c r="A288" s="1">
        <v>1573</v>
      </c>
      <c r="B288" s="1" t="s">
        <v>4</v>
      </c>
      <c r="C288" s="1">
        <v>0</v>
      </c>
      <c r="D288" s="1">
        <v>135</v>
      </c>
      <c r="F288" s="1">
        <v>1574</v>
      </c>
      <c r="G288" s="1" t="s">
        <v>5</v>
      </c>
      <c r="H288" s="1">
        <v>1</v>
      </c>
      <c r="I288" s="1">
        <v>490</v>
      </c>
      <c r="J288" s="4"/>
    </row>
    <row r="289" spans="1:10" x14ac:dyDescent="0.25">
      <c r="A289" s="1">
        <v>1575</v>
      </c>
      <c r="B289" s="1" t="s">
        <v>4</v>
      </c>
      <c r="C289" s="1">
        <v>1</v>
      </c>
      <c r="D289" s="1">
        <v>430</v>
      </c>
      <c r="F289" s="1">
        <v>1576</v>
      </c>
      <c r="G289" s="1" t="s">
        <v>5</v>
      </c>
      <c r="H289" s="1">
        <v>0</v>
      </c>
      <c r="I289" s="1">
        <v>145</v>
      </c>
      <c r="J289" s="4"/>
    </row>
    <row r="290" spans="1:10" x14ac:dyDescent="0.25">
      <c r="A290" s="1">
        <v>1578</v>
      </c>
      <c r="B290" s="1" t="s">
        <v>4</v>
      </c>
      <c r="C290" s="1">
        <v>1</v>
      </c>
      <c r="D290" s="1">
        <v>310</v>
      </c>
      <c r="F290" s="1">
        <v>1577</v>
      </c>
      <c r="G290" s="1" t="s">
        <v>5</v>
      </c>
      <c r="H290" s="1">
        <v>1</v>
      </c>
      <c r="I290" s="1">
        <v>590</v>
      </c>
      <c r="J290" s="4"/>
    </row>
    <row r="291" spans="1:10" x14ac:dyDescent="0.25">
      <c r="A291" s="1">
        <v>1579</v>
      </c>
      <c r="B291" s="1" t="s">
        <v>4</v>
      </c>
      <c r="C291" s="1">
        <v>0</v>
      </c>
      <c r="D291" s="1">
        <v>190</v>
      </c>
      <c r="F291" s="1">
        <v>1580</v>
      </c>
      <c r="G291" s="1" t="s">
        <v>5</v>
      </c>
      <c r="H291" s="1">
        <v>1</v>
      </c>
      <c r="I291" s="1">
        <v>500</v>
      </c>
      <c r="J291" s="4"/>
    </row>
    <row r="292" spans="1:10" x14ac:dyDescent="0.25">
      <c r="A292" s="1">
        <v>1582</v>
      </c>
      <c r="B292" s="1" t="s">
        <v>4</v>
      </c>
      <c r="C292" s="1">
        <v>1</v>
      </c>
      <c r="D292" s="1">
        <v>550</v>
      </c>
      <c r="F292" s="1">
        <v>1581</v>
      </c>
      <c r="G292" s="1" t="s">
        <v>5</v>
      </c>
      <c r="H292" s="1">
        <v>1</v>
      </c>
      <c r="I292" s="1">
        <v>225</v>
      </c>
      <c r="J292" s="4"/>
    </row>
    <row r="293" spans="1:10" x14ac:dyDescent="0.25">
      <c r="A293" s="1">
        <v>1583</v>
      </c>
      <c r="B293" s="1" t="s">
        <v>4</v>
      </c>
      <c r="C293" s="1">
        <v>0</v>
      </c>
      <c r="D293" s="1">
        <v>150</v>
      </c>
      <c r="F293" s="1">
        <v>1584</v>
      </c>
      <c r="G293" s="1" t="s">
        <v>5</v>
      </c>
      <c r="H293" s="1">
        <v>1</v>
      </c>
      <c r="I293" s="1">
        <v>470</v>
      </c>
      <c r="J293" s="4"/>
    </row>
    <row r="294" spans="1:10" x14ac:dyDescent="0.25">
      <c r="A294" s="1">
        <v>1585</v>
      </c>
      <c r="B294" s="1" t="s">
        <v>4</v>
      </c>
      <c r="C294" s="1">
        <v>1</v>
      </c>
      <c r="D294" s="1">
        <v>460</v>
      </c>
      <c r="F294" s="1">
        <v>1586</v>
      </c>
      <c r="G294" s="1" t="s">
        <v>5</v>
      </c>
      <c r="H294" s="1">
        <v>0</v>
      </c>
      <c r="I294" s="1">
        <v>130</v>
      </c>
      <c r="J294" s="4"/>
    </row>
    <row r="295" spans="1:10" x14ac:dyDescent="0.25">
      <c r="A295" s="1">
        <v>1587</v>
      </c>
      <c r="B295" s="1" t="s">
        <v>4</v>
      </c>
      <c r="C295" s="1">
        <v>1</v>
      </c>
      <c r="D295" s="1">
        <v>400</v>
      </c>
      <c r="F295" s="1">
        <v>1588</v>
      </c>
      <c r="G295" s="1" t="s">
        <v>5</v>
      </c>
      <c r="H295" s="1">
        <v>1</v>
      </c>
      <c r="I295" s="1">
        <v>335</v>
      </c>
      <c r="J295" s="4"/>
    </row>
    <row r="296" spans="1:10" x14ac:dyDescent="0.25">
      <c r="A296" s="1">
        <v>1589</v>
      </c>
      <c r="B296" s="1" t="s">
        <v>4</v>
      </c>
      <c r="C296" s="1">
        <v>0</v>
      </c>
      <c r="D296" s="1">
        <v>180</v>
      </c>
      <c r="F296" s="1">
        <v>1590</v>
      </c>
      <c r="G296" s="1" t="s">
        <v>5</v>
      </c>
      <c r="H296" s="1">
        <v>1</v>
      </c>
      <c r="I296" s="1">
        <v>570</v>
      </c>
      <c r="J296" s="4"/>
    </row>
    <row r="297" spans="1:10" x14ac:dyDescent="0.25">
      <c r="A297" s="1">
        <v>1592</v>
      </c>
      <c r="B297" s="1" t="s">
        <v>4</v>
      </c>
      <c r="C297" s="1">
        <v>1</v>
      </c>
      <c r="D297" s="1">
        <v>530</v>
      </c>
      <c r="F297" s="1">
        <v>1591</v>
      </c>
      <c r="G297" s="1" t="s">
        <v>5</v>
      </c>
      <c r="H297" s="1">
        <v>1</v>
      </c>
      <c r="I297" s="1">
        <v>240</v>
      </c>
      <c r="J297" s="4"/>
    </row>
    <row r="298" spans="1:10" x14ac:dyDescent="0.25">
      <c r="A298" s="1">
        <v>1593</v>
      </c>
      <c r="B298" s="1" t="s">
        <v>4</v>
      </c>
      <c r="C298" s="1">
        <v>0</v>
      </c>
      <c r="D298" s="1">
        <v>140</v>
      </c>
      <c r="F298" s="1">
        <v>1594</v>
      </c>
      <c r="G298" s="1" t="s">
        <v>5</v>
      </c>
      <c r="H298" s="1">
        <v>1</v>
      </c>
      <c r="I298" s="1">
        <v>480</v>
      </c>
      <c r="J298" s="4"/>
    </row>
    <row r="299" spans="1:10" x14ac:dyDescent="0.25">
      <c r="A299" s="1">
        <v>1595</v>
      </c>
      <c r="B299" s="1" t="s">
        <v>4</v>
      </c>
      <c r="C299" s="1">
        <v>1</v>
      </c>
      <c r="D299" s="1">
        <v>420</v>
      </c>
      <c r="F299" s="1">
        <v>1596</v>
      </c>
      <c r="G299" s="1" t="s">
        <v>5</v>
      </c>
      <c r="H299" s="1">
        <v>0</v>
      </c>
      <c r="I299" s="1">
        <v>155</v>
      </c>
      <c r="J299" s="4"/>
    </row>
    <row r="300" spans="1:10" x14ac:dyDescent="0.25">
      <c r="A300" s="1">
        <v>1597</v>
      </c>
      <c r="B300" s="1" t="s">
        <v>4</v>
      </c>
      <c r="C300" s="1">
        <v>1</v>
      </c>
      <c r="D300" s="1">
        <v>380</v>
      </c>
      <c r="F300" s="1">
        <v>1598</v>
      </c>
      <c r="G300" s="1" t="s">
        <v>5</v>
      </c>
      <c r="H300" s="1">
        <v>1</v>
      </c>
      <c r="I300" s="1">
        <v>315</v>
      </c>
      <c r="J300" s="4"/>
    </row>
    <row r="301" spans="1:10" x14ac:dyDescent="0.25">
      <c r="A301" s="1">
        <v>1599</v>
      </c>
      <c r="B301" s="1" t="s">
        <v>4</v>
      </c>
      <c r="C301" s="1">
        <v>0</v>
      </c>
      <c r="D301" s="1">
        <v>185</v>
      </c>
      <c r="F301" s="1">
        <v>1600</v>
      </c>
      <c r="G301" s="1" t="s">
        <v>5</v>
      </c>
      <c r="H301" s="1">
        <v>1</v>
      </c>
      <c r="I301" s="1">
        <v>560</v>
      </c>
      <c r="J301" s="4"/>
    </row>
    <row r="302" spans="1:10" x14ac:dyDescent="0.25">
      <c r="A302" s="1">
        <v>1602</v>
      </c>
      <c r="B302" s="1" t="s">
        <v>4</v>
      </c>
      <c r="C302" s="1">
        <v>1</v>
      </c>
      <c r="D302" s="1">
        <v>520</v>
      </c>
      <c r="F302" s="1">
        <v>1601</v>
      </c>
      <c r="G302" s="1" t="s">
        <v>5</v>
      </c>
      <c r="H302" s="1">
        <v>1</v>
      </c>
      <c r="I302" s="1">
        <v>230</v>
      </c>
      <c r="J302" s="4"/>
    </row>
    <row r="303" spans="1:10" x14ac:dyDescent="0.25">
      <c r="A303" s="1">
        <v>1603</v>
      </c>
      <c r="B303" s="1" t="s">
        <v>4</v>
      </c>
      <c r="C303" s="1">
        <v>0</v>
      </c>
      <c r="D303" s="1">
        <v>135</v>
      </c>
      <c r="F303" s="1">
        <v>1604</v>
      </c>
      <c r="G303" s="1" t="s">
        <v>5</v>
      </c>
      <c r="H303" s="1">
        <v>1</v>
      </c>
      <c r="I303" s="1">
        <v>490</v>
      </c>
      <c r="J303" s="4"/>
    </row>
    <row r="304" spans="1:10" x14ac:dyDescent="0.25">
      <c r="A304" s="1">
        <v>1605</v>
      </c>
      <c r="B304" s="1" t="s">
        <v>4</v>
      </c>
      <c r="C304" s="1">
        <v>1</v>
      </c>
      <c r="D304" s="1">
        <v>450</v>
      </c>
      <c r="F304" s="1">
        <v>1606</v>
      </c>
      <c r="G304" s="1" t="s">
        <v>5</v>
      </c>
      <c r="H304" s="1">
        <v>0</v>
      </c>
      <c r="I304" s="1">
        <v>150</v>
      </c>
      <c r="J304" s="4"/>
    </row>
    <row r="305" spans="1:10" x14ac:dyDescent="0.25">
      <c r="A305" s="1">
        <v>1607</v>
      </c>
      <c r="B305" s="1" t="s">
        <v>4</v>
      </c>
      <c r="C305" s="1">
        <v>1</v>
      </c>
      <c r="D305" s="1">
        <v>410</v>
      </c>
      <c r="F305" s="1">
        <v>1608</v>
      </c>
      <c r="G305" s="1" t="s">
        <v>5</v>
      </c>
      <c r="H305" s="1">
        <v>1</v>
      </c>
      <c r="I305" s="1">
        <v>305</v>
      </c>
      <c r="J305" s="4"/>
    </row>
    <row r="306" spans="1:10" x14ac:dyDescent="0.25">
      <c r="A306" s="1">
        <v>1609</v>
      </c>
      <c r="B306" s="1" t="s">
        <v>4</v>
      </c>
      <c r="C306" s="1">
        <v>0</v>
      </c>
      <c r="D306" s="1">
        <v>175</v>
      </c>
      <c r="F306" s="1">
        <v>1610</v>
      </c>
      <c r="G306" s="1" t="s">
        <v>5</v>
      </c>
      <c r="H306" s="1">
        <v>1</v>
      </c>
      <c r="I306" s="1">
        <v>580</v>
      </c>
      <c r="J306" s="4"/>
    </row>
    <row r="307" spans="1:10" x14ac:dyDescent="0.25">
      <c r="A307" s="1">
        <v>1612</v>
      </c>
      <c r="B307" s="1" t="s">
        <v>4</v>
      </c>
      <c r="C307" s="1">
        <v>1</v>
      </c>
      <c r="D307" s="1">
        <v>540</v>
      </c>
      <c r="F307" s="1">
        <v>1611</v>
      </c>
      <c r="G307" s="1" t="s">
        <v>5</v>
      </c>
      <c r="H307" s="1">
        <v>1</v>
      </c>
      <c r="I307" s="1">
        <v>245</v>
      </c>
      <c r="J307" s="4"/>
    </row>
    <row r="308" spans="1:10" x14ac:dyDescent="0.25">
      <c r="A308" s="1">
        <v>1613</v>
      </c>
      <c r="B308" s="1" t="s">
        <v>4</v>
      </c>
      <c r="C308" s="1">
        <v>0</v>
      </c>
      <c r="D308" s="1">
        <v>145</v>
      </c>
      <c r="F308" s="1">
        <v>1614</v>
      </c>
      <c r="G308" s="1" t="s">
        <v>5</v>
      </c>
      <c r="H308" s="1">
        <v>1</v>
      </c>
      <c r="I308" s="1">
        <v>470</v>
      </c>
      <c r="J308" s="4"/>
    </row>
    <row r="309" spans="1:10" x14ac:dyDescent="0.25">
      <c r="A309" s="1">
        <v>1615</v>
      </c>
      <c r="B309" s="1" t="s">
        <v>4</v>
      </c>
      <c r="C309" s="1">
        <v>1</v>
      </c>
      <c r="D309" s="1">
        <v>430</v>
      </c>
      <c r="F309" s="1">
        <v>1616</v>
      </c>
      <c r="G309" s="1" t="s">
        <v>5</v>
      </c>
      <c r="H309" s="1">
        <v>0</v>
      </c>
      <c r="I309" s="1">
        <v>130</v>
      </c>
      <c r="J309" s="4"/>
    </row>
    <row r="310" spans="1:10" x14ac:dyDescent="0.25">
      <c r="A310" s="1">
        <v>1618</v>
      </c>
      <c r="B310" s="1" t="s">
        <v>4</v>
      </c>
      <c r="C310" s="1">
        <v>1</v>
      </c>
      <c r="D310" s="1">
        <v>320</v>
      </c>
      <c r="F310" s="1">
        <v>1617</v>
      </c>
      <c r="G310" s="1" t="s">
        <v>5</v>
      </c>
      <c r="H310" s="1">
        <v>1</v>
      </c>
      <c r="I310" s="1">
        <v>550</v>
      </c>
      <c r="J310" s="4"/>
    </row>
    <row r="311" spans="1:10" x14ac:dyDescent="0.25">
      <c r="A311" s="1">
        <v>1619</v>
      </c>
      <c r="B311" s="1" t="s">
        <v>4</v>
      </c>
      <c r="C311" s="1">
        <v>0</v>
      </c>
      <c r="D311" s="1">
        <v>190</v>
      </c>
      <c r="F311" s="1">
        <v>1620</v>
      </c>
      <c r="G311" s="1" t="s">
        <v>5</v>
      </c>
      <c r="H311" s="1">
        <v>1</v>
      </c>
      <c r="I311" s="1">
        <v>510</v>
      </c>
      <c r="J311" s="4"/>
    </row>
    <row r="312" spans="1:10" x14ac:dyDescent="0.25">
      <c r="A312" s="1">
        <v>1622</v>
      </c>
      <c r="B312" s="1" t="s">
        <v>4</v>
      </c>
      <c r="C312" s="1">
        <v>1</v>
      </c>
      <c r="D312" s="1">
        <v>560</v>
      </c>
      <c r="F312" s="1">
        <v>1621</v>
      </c>
      <c r="G312" s="1" t="s">
        <v>5</v>
      </c>
      <c r="H312" s="1">
        <v>1</v>
      </c>
      <c r="I312" s="1">
        <v>225</v>
      </c>
      <c r="J312" s="4"/>
    </row>
    <row r="313" spans="1:10" x14ac:dyDescent="0.25">
      <c r="A313" s="1">
        <v>1623</v>
      </c>
      <c r="B313" s="1" t="s">
        <v>4</v>
      </c>
      <c r="C313" s="1">
        <v>0</v>
      </c>
      <c r="D313" s="1">
        <v>140</v>
      </c>
      <c r="F313" s="1">
        <v>1624</v>
      </c>
      <c r="G313" s="1" t="s">
        <v>5</v>
      </c>
      <c r="H313" s="1">
        <v>1</v>
      </c>
      <c r="I313" s="1">
        <v>460</v>
      </c>
      <c r="J313" s="4"/>
    </row>
    <row r="314" spans="1:10" x14ac:dyDescent="0.25">
      <c r="A314" s="1">
        <v>1625</v>
      </c>
      <c r="B314" s="1" t="s">
        <v>4</v>
      </c>
      <c r="C314" s="1">
        <v>1</v>
      </c>
      <c r="D314" s="1">
        <v>480</v>
      </c>
      <c r="F314" s="1">
        <v>1626</v>
      </c>
      <c r="G314" s="1" t="s">
        <v>5</v>
      </c>
      <c r="H314" s="1">
        <v>0</v>
      </c>
      <c r="I314" s="1">
        <v>155</v>
      </c>
      <c r="J314" s="4"/>
    </row>
    <row r="315" spans="1:10" x14ac:dyDescent="0.25">
      <c r="A315" s="1">
        <v>1627</v>
      </c>
      <c r="B315" s="1" t="s">
        <v>4</v>
      </c>
      <c r="C315" s="1">
        <v>1</v>
      </c>
      <c r="D315" s="1">
        <v>390</v>
      </c>
      <c r="F315" s="1">
        <v>1628</v>
      </c>
      <c r="G315" s="1" t="s">
        <v>5</v>
      </c>
      <c r="H315" s="1">
        <v>1</v>
      </c>
      <c r="I315" s="1">
        <v>330</v>
      </c>
      <c r="J315" s="4"/>
    </row>
    <row r="316" spans="1:10" x14ac:dyDescent="0.25">
      <c r="A316" s="1">
        <v>1629</v>
      </c>
      <c r="B316" s="1" t="s">
        <v>4</v>
      </c>
      <c r="C316" s="1">
        <v>0</v>
      </c>
      <c r="D316" s="1">
        <v>180</v>
      </c>
      <c r="F316" s="1">
        <v>1630</v>
      </c>
      <c r="G316" s="1" t="s">
        <v>5</v>
      </c>
      <c r="H316" s="1">
        <v>1</v>
      </c>
      <c r="I316" s="1">
        <v>570</v>
      </c>
      <c r="J316" s="4"/>
    </row>
    <row r="317" spans="1:10" x14ac:dyDescent="0.25">
      <c r="A317" s="1">
        <v>1632</v>
      </c>
      <c r="B317" s="1" t="s">
        <v>4</v>
      </c>
      <c r="C317" s="1">
        <v>1</v>
      </c>
      <c r="D317" s="1">
        <v>530</v>
      </c>
      <c r="F317" s="1">
        <v>1631</v>
      </c>
      <c r="G317" s="1" t="s">
        <v>5</v>
      </c>
      <c r="H317" s="1">
        <v>1</v>
      </c>
      <c r="I317" s="1">
        <v>235</v>
      </c>
      <c r="J317" s="4"/>
    </row>
    <row r="318" spans="1:10" x14ac:dyDescent="0.25">
      <c r="A318" s="1">
        <v>1633</v>
      </c>
      <c r="B318" s="1" t="s">
        <v>4</v>
      </c>
      <c r="C318" s="1">
        <v>0</v>
      </c>
      <c r="D318" s="1">
        <v>135</v>
      </c>
      <c r="F318" s="1">
        <v>1634</v>
      </c>
      <c r="G318" s="1" t="s">
        <v>5</v>
      </c>
      <c r="H318" s="1">
        <v>1</v>
      </c>
      <c r="I318" s="1">
        <v>500</v>
      </c>
      <c r="J318" s="4"/>
    </row>
    <row r="319" spans="1:10" x14ac:dyDescent="0.25">
      <c r="A319" s="1">
        <v>1635</v>
      </c>
      <c r="B319" s="1" t="s">
        <v>4</v>
      </c>
      <c r="C319" s="1">
        <v>1</v>
      </c>
      <c r="D319" s="1">
        <v>440</v>
      </c>
      <c r="F319" s="1">
        <v>1636</v>
      </c>
      <c r="G319" s="1" t="s">
        <v>5</v>
      </c>
      <c r="H319" s="1">
        <v>0</v>
      </c>
      <c r="I319" s="1">
        <v>150</v>
      </c>
      <c r="J319" s="4"/>
    </row>
    <row r="320" spans="1:10" x14ac:dyDescent="0.25">
      <c r="A320" s="1">
        <v>1637</v>
      </c>
      <c r="B320" s="1" t="s">
        <v>4</v>
      </c>
      <c r="C320" s="1">
        <v>1</v>
      </c>
      <c r="D320" s="1">
        <v>400</v>
      </c>
      <c r="F320" s="1">
        <v>1638</v>
      </c>
      <c r="G320" s="1" t="s">
        <v>5</v>
      </c>
      <c r="H320" s="1">
        <v>1</v>
      </c>
      <c r="I320" s="1">
        <v>315</v>
      </c>
      <c r="J320" s="4"/>
    </row>
    <row r="321" spans="1:10" x14ac:dyDescent="0.25">
      <c r="A321" s="1">
        <v>1639</v>
      </c>
      <c r="B321" s="1" t="s">
        <v>4</v>
      </c>
      <c r="C321" s="1">
        <v>0</v>
      </c>
      <c r="D321" s="1">
        <v>185</v>
      </c>
      <c r="F321" s="1">
        <v>1640</v>
      </c>
      <c r="G321" s="1" t="s">
        <v>5</v>
      </c>
      <c r="H321" s="1">
        <v>1</v>
      </c>
      <c r="I321" s="1">
        <v>590</v>
      </c>
      <c r="J321" s="4"/>
    </row>
    <row r="322" spans="1:10" x14ac:dyDescent="0.25">
      <c r="A322" s="1">
        <v>1642</v>
      </c>
      <c r="B322" s="1" t="s">
        <v>4</v>
      </c>
      <c r="C322" s="1">
        <v>1</v>
      </c>
      <c r="D322" s="1">
        <v>550</v>
      </c>
      <c r="F322" s="1">
        <v>1641</v>
      </c>
      <c r="G322" s="1" t="s">
        <v>5</v>
      </c>
      <c r="H322" s="1">
        <v>1</v>
      </c>
      <c r="I322" s="1">
        <v>220</v>
      </c>
      <c r="J322" s="4"/>
    </row>
    <row r="323" spans="1:10" x14ac:dyDescent="0.25">
      <c r="A323" s="1">
        <v>1643</v>
      </c>
      <c r="B323" s="1" t="s">
        <v>4</v>
      </c>
      <c r="C323" s="1">
        <v>0</v>
      </c>
      <c r="D323" s="1">
        <v>145</v>
      </c>
      <c r="F323" s="1">
        <v>1644</v>
      </c>
      <c r="G323" s="1" t="s">
        <v>5</v>
      </c>
      <c r="H323" s="1">
        <v>1</v>
      </c>
      <c r="I323" s="1">
        <v>480</v>
      </c>
      <c r="J323" s="4"/>
    </row>
    <row r="324" spans="1:10" x14ac:dyDescent="0.25">
      <c r="A324" s="1">
        <v>1645</v>
      </c>
      <c r="B324" s="1" t="s">
        <v>4</v>
      </c>
      <c r="C324" s="1">
        <v>1</v>
      </c>
      <c r="D324" s="1">
        <v>460</v>
      </c>
      <c r="F324" s="1">
        <v>1646</v>
      </c>
      <c r="G324" s="1" t="s">
        <v>5</v>
      </c>
      <c r="H324" s="1">
        <v>0</v>
      </c>
      <c r="I324" s="1">
        <v>130</v>
      </c>
      <c r="J324" s="4"/>
    </row>
    <row r="325" spans="1:10" x14ac:dyDescent="0.25">
      <c r="A325" s="1">
        <v>1647</v>
      </c>
      <c r="B325" s="1" t="s">
        <v>4</v>
      </c>
      <c r="C325" s="1">
        <v>1</v>
      </c>
      <c r="D325" s="1">
        <v>420</v>
      </c>
      <c r="F325" s="1">
        <v>1648</v>
      </c>
      <c r="G325" s="1" t="s">
        <v>5</v>
      </c>
      <c r="H325" s="1">
        <v>1</v>
      </c>
      <c r="I325" s="1">
        <v>340</v>
      </c>
      <c r="J325" s="4"/>
    </row>
    <row r="326" spans="1:10" x14ac:dyDescent="0.25">
      <c r="A326" s="1">
        <v>1649</v>
      </c>
      <c r="B326" s="1" t="s">
        <v>4</v>
      </c>
      <c r="C326" s="1">
        <v>0</v>
      </c>
      <c r="D326" s="1">
        <v>175</v>
      </c>
      <c r="F326" s="1">
        <v>1650</v>
      </c>
      <c r="G326" s="1" t="s">
        <v>5</v>
      </c>
      <c r="H326" s="1">
        <v>1</v>
      </c>
      <c r="I326" s="1">
        <v>580</v>
      </c>
      <c r="J326" s="4"/>
    </row>
    <row r="327" spans="1:10" x14ac:dyDescent="0.25">
      <c r="A327" s="1">
        <v>1652</v>
      </c>
      <c r="B327" s="1" t="s">
        <v>4</v>
      </c>
      <c r="C327" s="1">
        <v>1</v>
      </c>
      <c r="D327" s="1">
        <v>520</v>
      </c>
      <c r="F327" s="1">
        <v>1651</v>
      </c>
      <c r="G327" s="1" t="s">
        <v>5</v>
      </c>
      <c r="H327" s="1">
        <v>1</v>
      </c>
      <c r="I327" s="1">
        <v>240</v>
      </c>
      <c r="J327" s="4"/>
    </row>
    <row r="328" spans="1:10" x14ac:dyDescent="0.25">
      <c r="A328" s="1">
        <v>1653</v>
      </c>
      <c r="B328" s="1" t="s">
        <v>4</v>
      </c>
      <c r="C328" s="1">
        <v>0</v>
      </c>
      <c r="D328" s="1">
        <v>150</v>
      </c>
      <c r="F328" s="1">
        <v>1654</v>
      </c>
      <c r="G328" s="1" t="s">
        <v>5</v>
      </c>
      <c r="H328" s="1">
        <v>1</v>
      </c>
      <c r="I328" s="1">
        <v>470</v>
      </c>
      <c r="J328" s="4"/>
    </row>
    <row r="329" spans="1:10" x14ac:dyDescent="0.25">
      <c r="A329" s="1">
        <v>1655</v>
      </c>
      <c r="B329" s="1" t="s">
        <v>4</v>
      </c>
      <c r="C329" s="1">
        <v>1</v>
      </c>
      <c r="D329" s="1">
        <v>450</v>
      </c>
      <c r="F329" s="1">
        <v>1656</v>
      </c>
      <c r="G329" s="1" t="s">
        <v>5</v>
      </c>
      <c r="H329" s="1">
        <v>0</v>
      </c>
      <c r="I329" s="1">
        <v>140</v>
      </c>
      <c r="J329" s="4"/>
    </row>
    <row r="330" spans="1:10" x14ac:dyDescent="0.25">
      <c r="A330" s="1">
        <v>1658</v>
      </c>
      <c r="B330" s="1" t="s">
        <v>4</v>
      </c>
      <c r="C330" s="1">
        <v>1</v>
      </c>
      <c r="D330" s="1">
        <v>310</v>
      </c>
      <c r="F330" s="1">
        <v>1657</v>
      </c>
      <c r="G330" s="1" t="s">
        <v>5</v>
      </c>
      <c r="H330" s="1">
        <v>1</v>
      </c>
      <c r="I330" s="1">
        <v>560</v>
      </c>
      <c r="J330" s="4"/>
    </row>
    <row r="331" spans="1:10" x14ac:dyDescent="0.25">
      <c r="A331" s="1">
        <v>1659</v>
      </c>
      <c r="B331" s="1" t="s">
        <v>4</v>
      </c>
      <c r="C331" s="1">
        <v>0</v>
      </c>
      <c r="D331" s="1">
        <v>185</v>
      </c>
      <c r="F331" s="1">
        <v>1660</v>
      </c>
      <c r="G331" s="1" t="s">
        <v>5</v>
      </c>
      <c r="H331" s="1">
        <v>1</v>
      </c>
      <c r="I331" s="1">
        <v>510</v>
      </c>
      <c r="J331" s="4"/>
    </row>
    <row r="332" spans="1:10" x14ac:dyDescent="0.25">
      <c r="A332" s="1">
        <v>1662</v>
      </c>
      <c r="B332" s="1" t="s">
        <v>4</v>
      </c>
      <c r="C332" s="1">
        <v>1</v>
      </c>
      <c r="D332" s="1">
        <v>540</v>
      </c>
      <c r="F332" s="1">
        <v>1661</v>
      </c>
      <c r="G332" s="1" t="s">
        <v>5</v>
      </c>
      <c r="H332" s="1">
        <v>1</v>
      </c>
      <c r="I332" s="1">
        <v>235</v>
      </c>
      <c r="J332" s="4"/>
    </row>
    <row r="333" spans="1:10" x14ac:dyDescent="0.25">
      <c r="A333" s="1">
        <v>1663</v>
      </c>
      <c r="B333" s="1" t="s">
        <v>4</v>
      </c>
      <c r="C333" s="1">
        <v>0</v>
      </c>
      <c r="D333" s="1">
        <v>135</v>
      </c>
      <c r="F333" s="1">
        <v>1664</v>
      </c>
      <c r="G333" s="1" t="s">
        <v>5</v>
      </c>
      <c r="H333" s="1">
        <v>0</v>
      </c>
      <c r="I333" s="1">
        <v>490</v>
      </c>
      <c r="J333" s="4"/>
    </row>
    <row r="334" spans="1:10" x14ac:dyDescent="0.25">
      <c r="A334" s="1">
        <v>1665</v>
      </c>
      <c r="B334" s="1" t="s">
        <v>4</v>
      </c>
      <c r="C334" s="1">
        <v>1</v>
      </c>
      <c r="D334" s="1">
        <v>430</v>
      </c>
      <c r="F334" s="1">
        <v>1666</v>
      </c>
      <c r="G334" s="1" t="s">
        <v>5</v>
      </c>
      <c r="H334" s="1">
        <v>0</v>
      </c>
      <c r="I334" s="1">
        <v>155</v>
      </c>
      <c r="J334" s="4"/>
    </row>
    <row r="335" spans="1:10" x14ac:dyDescent="0.25">
      <c r="A335" s="1">
        <v>1667</v>
      </c>
      <c r="B335" s="1" t="s">
        <v>4</v>
      </c>
      <c r="C335" s="1">
        <v>1</v>
      </c>
      <c r="D335" s="1">
        <v>380</v>
      </c>
      <c r="F335" s="1">
        <v>1668</v>
      </c>
      <c r="G335" s="1" t="s">
        <v>5</v>
      </c>
      <c r="H335" s="1">
        <v>1</v>
      </c>
      <c r="I335" s="1">
        <v>325</v>
      </c>
      <c r="J335" s="4"/>
    </row>
    <row r="336" spans="1:10" x14ac:dyDescent="0.25">
      <c r="A336" s="1">
        <v>1669</v>
      </c>
      <c r="B336" s="1" t="s">
        <v>4</v>
      </c>
      <c r="C336" s="1">
        <v>0</v>
      </c>
      <c r="D336" s="1">
        <v>180</v>
      </c>
      <c r="F336" s="1">
        <v>1670</v>
      </c>
      <c r="G336" s="1" t="s">
        <v>5</v>
      </c>
      <c r="H336" s="1">
        <v>1</v>
      </c>
      <c r="I336" s="1">
        <v>570</v>
      </c>
      <c r="J336" s="4"/>
    </row>
    <row r="337" spans="1:10" x14ac:dyDescent="0.25">
      <c r="A337" s="1">
        <v>1672</v>
      </c>
      <c r="B337" s="1" t="s">
        <v>4</v>
      </c>
      <c r="C337" s="1">
        <v>1</v>
      </c>
      <c r="D337" s="1">
        <v>530</v>
      </c>
      <c r="F337" s="1">
        <v>1671</v>
      </c>
      <c r="G337" s="1" t="s">
        <v>5</v>
      </c>
      <c r="H337" s="1">
        <v>1</v>
      </c>
      <c r="I337" s="1">
        <v>225</v>
      </c>
      <c r="J337" s="4"/>
    </row>
    <row r="338" spans="1:10" x14ac:dyDescent="0.25">
      <c r="A338" s="1">
        <v>1673</v>
      </c>
      <c r="B338" s="1" t="s">
        <v>4</v>
      </c>
      <c r="C338" s="1">
        <v>0</v>
      </c>
      <c r="D338" s="1">
        <v>140</v>
      </c>
      <c r="F338" s="1">
        <v>1674</v>
      </c>
      <c r="G338" s="1" t="s">
        <v>5</v>
      </c>
      <c r="H338" s="1">
        <v>1</v>
      </c>
      <c r="I338" s="1">
        <v>500</v>
      </c>
      <c r="J338" s="4"/>
    </row>
    <row r="339" spans="1:10" x14ac:dyDescent="0.25">
      <c r="A339" s="1">
        <v>1675</v>
      </c>
      <c r="B339" s="1" t="s">
        <v>4</v>
      </c>
      <c r="C339" s="1">
        <v>1</v>
      </c>
      <c r="D339" s="1">
        <v>460</v>
      </c>
      <c r="F339" s="1">
        <v>1676</v>
      </c>
      <c r="G339" s="1" t="s">
        <v>5</v>
      </c>
      <c r="H339" s="1">
        <v>0</v>
      </c>
      <c r="I339" s="1">
        <v>130</v>
      </c>
      <c r="J339" s="4"/>
    </row>
    <row r="340" spans="1:10" x14ac:dyDescent="0.25">
      <c r="A340" s="1">
        <v>1677</v>
      </c>
      <c r="B340" s="1" t="s">
        <v>4</v>
      </c>
      <c r="C340" s="1">
        <v>1</v>
      </c>
      <c r="D340" s="1">
        <v>410</v>
      </c>
      <c r="F340" s="1">
        <v>1678</v>
      </c>
      <c r="G340" s="1" t="s">
        <v>5</v>
      </c>
      <c r="H340" s="1">
        <v>1</v>
      </c>
      <c r="I340" s="1">
        <v>315</v>
      </c>
      <c r="J340" s="4"/>
    </row>
    <row r="341" spans="1:10" x14ac:dyDescent="0.25">
      <c r="A341" s="1">
        <v>1679</v>
      </c>
      <c r="B341" s="1" t="s">
        <v>4</v>
      </c>
      <c r="C341" s="1">
        <v>0</v>
      </c>
      <c r="D341" s="1">
        <v>190</v>
      </c>
      <c r="F341" s="1">
        <v>1680</v>
      </c>
      <c r="G341" s="1" t="s">
        <v>5</v>
      </c>
      <c r="H341" s="1">
        <v>1</v>
      </c>
      <c r="I341" s="1">
        <v>590</v>
      </c>
      <c r="J341" s="4"/>
    </row>
    <row r="342" spans="1:10" x14ac:dyDescent="0.25">
      <c r="A342" s="1">
        <v>1682</v>
      </c>
      <c r="B342" s="1" t="s">
        <v>4</v>
      </c>
      <c r="C342" s="1">
        <v>1</v>
      </c>
      <c r="D342" s="1">
        <v>550</v>
      </c>
      <c r="F342" s="1">
        <v>1681</v>
      </c>
      <c r="G342" s="1" t="s">
        <v>5</v>
      </c>
      <c r="H342" s="1">
        <v>1</v>
      </c>
      <c r="I342" s="1">
        <v>245</v>
      </c>
      <c r="J342" s="4"/>
    </row>
    <row r="343" spans="1:10" x14ac:dyDescent="0.25">
      <c r="A343" s="1">
        <v>1683</v>
      </c>
      <c r="B343" s="1" t="s">
        <v>4</v>
      </c>
      <c r="C343" s="1">
        <v>0</v>
      </c>
      <c r="D343" s="1">
        <v>145</v>
      </c>
      <c r="F343" s="1">
        <v>1684</v>
      </c>
      <c r="G343" s="1" t="s">
        <v>5</v>
      </c>
      <c r="H343" s="1">
        <v>1</v>
      </c>
      <c r="I343" s="1">
        <v>480</v>
      </c>
      <c r="J343" s="4"/>
    </row>
    <row r="344" spans="1:10" x14ac:dyDescent="0.25">
      <c r="A344" s="1">
        <v>1685</v>
      </c>
      <c r="B344" s="1" t="s">
        <v>4</v>
      </c>
      <c r="C344" s="1">
        <v>1</v>
      </c>
      <c r="D344" s="1">
        <v>440</v>
      </c>
      <c r="F344" s="1">
        <v>1686</v>
      </c>
      <c r="G344" s="1" t="s">
        <v>5</v>
      </c>
      <c r="H344" s="1">
        <v>0</v>
      </c>
      <c r="I344" s="1">
        <v>150</v>
      </c>
      <c r="J344" s="4"/>
    </row>
    <row r="345" spans="1:10" x14ac:dyDescent="0.25">
      <c r="A345" s="1">
        <v>1687</v>
      </c>
      <c r="B345" s="1" t="s">
        <v>4</v>
      </c>
      <c r="C345" s="1">
        <v>1</v>
      </c>
      <c r="D345" s="1">
        <v>390</v>
      </c>
      <c r="F345" s="1">
        <v>1688</v>
      </c>
      <c r="G345" s="1" t="s">
        <v>5</v>
      </c>
      <c r="H345" s="1">
        <v>1</v>
      </c>
      <c r="I345" s="1">
        <v>330</v>
      </c>
      <c r="J345" s="4"/>
    </row>
    <row r="346" spans="1:10" x14ac:dyDescent="0.25">
      <c r="A346" s="1">
        <v>1689</v>
      </c>
      <c r="B346" s="1" t="s">
        <v>4</v>
      </c>
      <c r="C346" s="1">
        <v>0</v>
      </c>
      <c r="D346" s="1">
        <v>175</v>
      </c>
      <c r="F346" s="1">
        <v>1690</v>
      </c>
      <c r="G346" s="1" t="s">
        <v>5</v>
      </c>
      <c r="H346" s="1">
        <v>1</v>
      </c>
      <c r="I346" s="1">
        <v>580</v>
      </c>
      <c r="J346" s="4"/>
    </row>
    <row r="347" spans="1:10" x14ac:dyDescent="0.25">
      <c r="A347" s="1">
        <v>1692</v>
      </c>
      <c r="B347" s="1" t="s">
        <v>4</v>
      </c>
      <c r="C347" s="1">
        <v>1</v>
      </c>
      <c r="D347" s="1">
        <v>520</v>
      </c>
      <c r="F347" s="1">
        <v>1691</v>
      </c>
      <c r="G347" s="1" t="s">
        <v>5</v>
      </c>
      <c r="H347" s="1">
        <v>1</v>
      </c>
      <c r="I347" s="1">
        <v>230</v>
      </c>
      <c r="J347" s="4"/>
    </row>
    <row r="348" spans="1:10" x14ac:dyDescent="0.25">
      <c r="A348" s="1">
        <v>1693</v>
      </c>
      <c r="B348" s="1" t="s">
        <v>4</v>
      </c>
      <c r="C348" s="1">
        <v>0</v>
      </c>
      <c r="D348" s="1">
        <v>140</v>
      </c>
      <c r="F348" s="1">
        <v>1694</v>
      </c>
      <c r="G348" s="1" t="s">
        <v>5</v>
      </c>
      <c r="H348" s="1">
        <v>1</v>
      </c>
      <c r="I348" s="1">
        <v>470</v>
      </c>
      <c r="J348" s="4"/>
    </row>
    <row r="349" spans="1:10" x14ac:dyDescent="0.25">
      <c r="A349" s="1">
        <v>1695</v>
      </c>
      <c r="B349" s="1" t="s">
        <v>4</v>
      </c>
      <c r="C349" s="1">
        <v>1</v>
      </c>
      <c r="D349" s="1">
        <v>450</v>
      </c>
      <c r="F349" s="1">
        <v>1696</v>
      </c>
      <c r="G349" s="1" t="s">
        <v>5</v>
      </c>
      <c r="H349" s="1">
        <v>0</v>
      </c>
      <c r="I349" s="1">
        <v>155</v>
      </c>
      <c r="J349" s="4"/>
    </row>
    <row r="350" spans="1:10" x14ac:dyDescent="0.25">
      <c r="A350" s="1">
        <v>1698</v>
      </c>
      <c r="B350" s="1" t="s">
        <v>4</v>
      </c>
      <c r="C350" s="1">
        <v>1</v>
      </c>
      <c r="D350" s="1">
        <v>320</v>
      </c>
      <c r="F350" s="1">
        <v>1697</v>
      </c>
      <c r="G350" s="1" t="s">
        <v>5</v>
      </c>
      <c r="H350" s="1">
        <v>1</v>
      </c>
      <c r="I350" s="1">
        <v>570</v>
      </c>
      <c r="J350" s="4"/>
    </row>
    <row r="351" spans="1:10" x14ac:dyDescent="0.25">
      <c r="A351" s="1">
        <v>1699</v>
      </c>
      <c r="B351" s="1" t="s">
        <v>4</v>
      </c>
      <c r="C351" s="1">
        <v>0</v>
      </c>
      <c r="D351" s="1">
        <v>185</v>
      </c>
      <c r="F351" s="1">
        <v>1700</v>
      </c>
      <c r="G351" s="1" t="s">
        <v>5</v>
      </c>
      <c r="H351" s="1">
        <v>1</v>
      </c>
      <c r="I351" s="1">
        <v>510</v>
      </c>
      <c r="J351" s="4"/>
    </row>
    <row r="352" spans="1:10" x14ac:dyDescent="0.25">
      <c r="A352" s="1">
        <v>1702</v>
      </c>
      <c r="B352" s="1" t="s">
        <v>4</v>
      </c>
      <c r="C352" s="1">
        <v>1</v>
      </c>
      <c r="D352" s="1">
        <v>540</v>
      </c>
      <c r="F352" s="1">
        <v>1701</v>
      </c>
      <c r="G352" s="1" t="s">
        <v>5</v>
      </c>
      <c r="H352" s="1">
        <v>1</v>
      </c>
      <c r="I352" s="1">
        <v>235</v>
      </c>
      <c r="J352" s="4"/>
    </row>
    <row r="353" spans="1:10" x14ac:dyDescent="0.25">
      <c r="A353" s="1">
        <v>1703</v>
      </c>
      <c r="B353" s="1" t="s">
        <v>4</v>
      </c>
      <c r="C353" s="1">
        <v>0</v>
      </c>
      <c r="D353" s="1">
        <v>135</v>
      </c>
      <c r="F353" s="1">
        <v>1704</v>
      </c>
      <c r="G353" s="1" t="s">
        <v>5</v>
      </c>
      <c r="H353" s="1">
        <v>1</v>
      </c>
      <c r="I353" s="1">
        <v>490</v>
      </c>
      <c r="J353" s="4"/>
    </row>
    <row r="354" spans="1:10" x14ac:dyDescent="0.25">
      <c r="A354" s="1">
        <v>1705</v>
      </c>
      <c r="B354" s="1" t="s">
        <v>4</v>
      </c>
      <c r="C354" s="1">
        <v>1</v>
      </c>
      <c r="D354" s="1">
        <v>430</v>
      </c>
      <c r="F354" s="1">
        <v>1706</v>
      </c>
      <c r="G354" s="1" t="s">
        <v>5</v>
      </c>
      <c r="H354" s="1">
        <v>0</v>
      </c>
      <c r="I354" s="1">
        <v>150</v>
      </c>
      <c r="J354" s="4"/>
    </row>
    <row r="355" spans="1:10" x14ac:dyDescent="0.25">
      <c r="A355" s="1">
        <v>1707</v>
      </c>
      <c r="B355" s="1" t="s">
        <v>4</v>
      </c>
      <c r="C355" s="1">
        <v>1</v>
      </c>
      <c r="D355" s="1">
        <v>400</v>
      </c>
      <c r="F355" s="1">
        <v>1708</v>
      </c>
      <c r="G355" s="1" t="s">
        <v>5</v>
      </c>
      <c r="H355" s="1">
        <v>1</v>
      </c>
      <c r="I355" s="1">
        <v>325</v>
      </c>
      <c r="J355" s="4"/>
    </row>
    <row r="356" spans="1:10" x14ac:dyDescent="0.25">
      <c r="A356" s="1">
        <v>1709</v>
      </c>
      <c r="B356" s="1" t="s">
        <v>4</v>
      </c>
      <c r="C356" s="1">
        <v>0</v>
      </c>
      <c r="D356" s="1">
        <v>180</v>
      </c>
      <c r="F356" s="1">
        <v>1710</v>
      </c>
      <c r="G356" s="1" t="s">
        <v>5</v>
      </c>
      <c r="H356" s="1">
        <v>1</v>
      </c>
      <c r="I356" s="1">
        <v>580</v>
      </c>
      <c r="J356" s="4"/>
    </row>
    <row r="357" spans="1:10" x14ac:dyDescent="0.25">
      <c r="A357" s="1">
        <v>1712</v>
      </c>
      <c r="B357" s="1" t="s">
        <v>4</v>
      </c>
      <c r="C357" s="1">
        <v>1</v>
      </c>
      <c r="D357" s="1">
        <v>530</v>
      </c>
      <c r="F357" s="1">
        <v>1711</v>
      </c>
      <c r="G357" s="1" t="s">
        <v>5</v>
      </c>
      <c r="H357" s="1">
        <v>1</v>
      </c>
      <c r="I357" s="1">
        <v>240</v>
      </c>
      <c r="J357" s="4"/>
    </row>
    <row r="358" spans="1:10" x14ac:dyDescent="0.25">
      <c r="A358" s="1">
        <v>1713</v>
      </c>
      <c r="B358" s="1" t="s">
        <v>4</v>
      </c>
      <c r="C358" s="1">
        <v>0</v>
      </c>
      <c r="D358" s="1">
        <v>145</v>
      </c>
      <c r="F358" s="1">
        <v>1714</v>
      </c>
      <c r="G358" s="1" t="s">
        <v>5</v>
      </c>
      <c r="H358" s="1">
        <v>1</v>
      </c>
      <c r="I358" s="1">
        <v>500</v>
      </c>
      <c r="J358" s="4"/>
    </row>
    <row r="359" spans="1:10" x14ac:dyDescent="0.25">
      <c r="A359" s="1">
        <v>1715</v>
      </c>
      <c r="B359" s="1" t="s">
        <v>4</v>
      </c>
      <c r="C359" s="1">
        <v>1</v>
      </c>
      <c r="D359" s="1">
        <v>460</v>
      </c>
      <c r="F359" s="1">
        <v>1716</v>
      </c>
      <c r="G359" s="1" t="s">
        <v>5</v>
      </c>
      <c r="H359" s="1">
        <v>0</v>
      </c>
      <c r="I359" s="1">
        <v>130</v>
      </c>
      <c r="J359" s="4"/>
    </row>
    <row r="360" spans="1:10" x14ac:dyDescent="0.25">
      <c r="A360" s="1">
        <v>1717</v>
      </c>
      <c r="B360" s="1" t="s">
        <v>4</v>
      </c>
      <c r="C360" s="1">
        <v>1</v>
      </c>
      <c r="D360" s="1">
        <v>420</v>
      </c>
      <c r="F360" s="1">
        <v>1718</v>
      </c>
      <c r="G360" s="1" t="s">
        <v>5</v>
      </c>
      <c r="H360" s="1">
        <v>1</v>
      </c>
      <c r="I360" s="1">
        <v>335</v>
      </c>
      <c r="J360" s="4"/>
    </row>
    <row r="361" spans="1:10" x14ac:dyDescent="0.25">
      <c r="A361" s="1">
        <v>1719</v>
      </c>
      <c r="B361" s="1" t="s">
        <v>4</v>
      </c>
      <c r="C361" s="1">
        <v>0</v>
      </c>
      <c r="D361" s="1">
        <v>175</v>
      </c>
      <c r="F361" s="1">
        <v>1720</v>
      </c>
      <c r="G361" s="1" t="s">
        <v>5</v>
      </c>
      <c r="H361" s="1">
        <v>1</v>
      </c>
      <c r="I361" s="1">
        <v>590</v>
      </c>
      <c r="J361" s="4"/>
    </row>
    <row r="362" spans="1:10" x14ac:dyDescent="0.25">
      <c r="A362" s="1">
        <v>1722</v>
      </c>
      <c r="B362" s="1" t="s">
        <v>4</v>
      </c>
      <c r="C362" s="1">
        <v>1</v>
      </c>
      <c r="D362" s="1">
        <v>550</v>
      </c>
      <c r="F362" s="1">
        <v>1721</v>
      </c>
      <c r="G362" s="1" t="s">
        <v>5</v>
      </c>
      <c r="H362" s="1">
        <v>1</v>
      </c>
      <c r="I362" s="1">
        <v>225</v>
      </c>
      <c r="J362" s="4"/>
    </row>
    <row r="363" spans="1:10" x14ac:dyDescent="0.25">
      <c r="A363" s="1">
        <v>1723</v>
      </c>
      <c r="B363" s="1" t="s">
        <v>4</v>
      </c>
      <c r="C363" s="1">
        <v>0</v>
      </c>
      <c r="D363" s="1">
        <v>150</v>
      </c>
      <c r="F363" s="1">
        <v>1724</v>
      </c>
      <c r="G363" s="1" t="s">
        <v>5</v>
      </c>
      <c r="H363" s="1">
        <v>1</v>
      </c>
      <c r="I363" s="1">
        <v>480</v>
      </c>
      <c r="J363" s="4"/>
    </row>
    <row r="364" spans="1:10" x14ac:dyDescent="0.25">
      <c r="A364" s="1">
        <v>1725</v>
      </c>
      <c r="B364" s="1" t="s">
        <v>4</v>
      </c>
      <c r="C364" s="1">
        <v>1</v>
      </c>
      <c r="D364" s="1">
        <v>440</v>
      </c>
      <c r="F364" s="1">
        <v>1726</v>
      </c>
      <c r="G364" s="1" t="s">
        <v>5</v>
      </c>
      <c r="H364" s="1">
        <v>0</v>
      </c>
      <c r="I364" s="1">
        <v>140</v>
      </c>
      <c r="J364" s="4"/>
    </row>
    <row r="365" spans="1:10" x14ac:dyDescent="0.25">
      <c r="A365" s="1">
        <v>1727</v>
      </c>
      <c r="B365" s="1" t="s">
        <v>4</v>
      </c>
      <c r="C365" s="1">
        <v>1</v>
      </c>
      <c r="D365" s="1">
        <v>390</v>
      </c>
      <c r="F365" s="1">
        <v>1728</v>
      </c>
      <c r="G365" s="1" t="s">
        <v>5</v>
      </c>
      <c r="H365" s="1">
        <v>1</v>
      </c>
      <c r="I365" s="1">
        <v>315</v>
      </c>
      <c r="J365" s="4"/>
    </row>
    <row r="366" spans="1:10" x14ac:dyDescent="0.25">
      <c r="A366" s="1">
        <v>1729</v>
      </c>
      <c r="B366" s="1" t="s">
        <v>4</v>
      </c>
      <c r="C366" s="1">
        <v>0</v>
      </c>
      <c r="D366" s="1">
        <v>185</v>
      </c>
      <c r="F366" s="1">
        <v>1730</v>
      </c>
      <c r="G366" s="1" t="s">
        <v>5</v>
      </c>
      <c r="H366" s="1">
        <v>1</v>
      </c>
      <c r="I366" s="1">
        <v>570</v>
      </c>
      <c r="J366" s="4"/>
    </row>
    <row r="367" spans="1:10" x14ac:dyDescent="0.25">
      <c r="A367" s="1">
        <v>1732</v>
      </c>
      <c r="B367" s="1" t="s">
        <v>4</v>
      </c>
      <c r="C367" s="1">
        <v>1</v>
      </c>
      <c r="D367" s="1">
        <v>520</v>
      </c>
      <c r="F367" s="1">
        <v>1731</v>
      </c>
      <c r="G367" s="1" t="s">
        <v>5</v>
      </c>
      <c r="H367" s="1">
        <v>1</v>
      </c>
      <c r="I367" s="1">
        <v>230</v>
      </c>
      <c r="J367" s="4"/>
    </row>
    <row r="368" spans="1:10" x14ac:dyDescent="0.25">
      <c r="A368" s="1">
        <v>1733</v>
      </c>
      <c r="B368" s="1" t="s">
        <v>4</v>
      </c>
      <c r="C368" s="1">
        <v>0</v>
      </c>
      <c r="D368" s="1">
        <v>135</v>
      </c>
      <c r="F368" s="1">
        <v>1734</v>
      </c>
      <c r="G368" s="1" t="s">
        <v>5</v>
      </c>
      <c r="H368" s="1">
        <v>1</v>
      </c>
      <c r="I368" s="1">
        <v>470</v>
      </c>
      <c r="J368" s="4"/>
    </row>
    <row r="369" spans="1:10" x14ac:dyDescent="0.25">
      <c r="A369" s="1">
        <v>1735</v>
      </c>
      <c r="B369" s="1" t="s">
        <v>4</v>
      </c>
      <c r="C369" s="1">
        <v>1</v>
      </c>
      <c r="D369" s="1">
        <v>450</v>
      </c>
      <c r="F369" s="1">
        <v>1736</v>
      </c>
      <c r="G369" s="1" t="s">
        <v>5</v>
      </c>
      <c r="H369" s="1">
        <v>0</v>
      </c>
      <c r="I369" s="1">
        <v>155</v>
      </c>
      <c r="J369" s="4"/>
    </row>
    <row r="370" spans="1:10" x14ac:dyDescent="0.25">
      <c r="A370" s="1">
        <v>1738</v>
      </c>
      <c r="B370" s="1" t="s">
        <v>4</v>
      </c>
      <c r="C370" s="1">
        <v>1</v>
      </c>
      <c r="D370" s="1">
        <v>310</v>
      </c>
      <c r="F370" s="1">
        <v>1737</v>
      </c>
      <c r="G370" s="1" t="s">
        <v>5</v>
      </c>
      <c r="H370" s="1">
        <v>1</v>
      </c>
      <c r="I370" s="1">
        <v>580</v>
      </c>
      <c r="J370" s="4"/>
    </row>
    <row r="371" spans="1:10" x14ac:dyDescent="0.25">
      <c r="A371" s="1">
        <v>1739</v>
      </c>
      <c r="B371" s="1" t="s">
        <v>4</v>
      </c>
      <c r="C371" s="1">
        <v>0</v>
      </c>
      <c r="D371" s="1">
        <v>190</v>
      </c>
      <c r="F371" s="1">
        <v>1740</v>
      </c>
      <c r="G371" s="1" t="s">
        <v>5</v>
      </c>
      <c r="H371" s="1">
        <v>1</v>
      </c>
      <c r="I371" s="1">
        <v>510</v>
      </c>
      <c r="J371" s="4"/>
    </row>
    <row r="372" spans="1:10" x14ac:dyDescent="0.25">
      <c r="A372" s="1">
        <v>1742</v>
      </c>
      <c r="B372" s="1" t="s">
        <v>4</v>
      </c>
      <c r="C372" s="1">
        <v>1</v>
      </c>
      <c r="D372" s="1">
        <v>540</v>
      </c>
      <c r="F372" s="1">
        <v>1741</v>
      </c>
      <c r="G372" s="1" t="s">
        <v>5</v>
      </c>
      <c r="H372" s="1">
        <v>1</v>
      </c>
      <c r="I372" s="1">
        <v>245</v>
      </c>
      <c r="J372" s="4"/>
    </row>
    <row r="373" spans="1:10" x14ac:dyDescent="0.25">
      <c r="A373" s="1">
        <v>1743</v>
      </c>
      <c r="B373" s="1" t="s">
        <v>4</v>
      </c>
      <c r="C373" s="1">
        <v>0</v>
      </c>
      <c r="D373" s="1">
        <v>145</v>
      </c>
      <c r="F373" s="1">
        <v>1744</v>
      </c>
      <c r="G373" s="1" t="s">
        <v>5</v>
      </c>
      <c r="H373" s="1">
        <v>1</v>
      </c>
      <c r="I373" s="1">
        <v>490</v>
      </c>
      <c r="J373" s="4"/>
    </row>
    <row r="374" spans="1:10" x14ac:dyDescent="0.25">
      <c r="A374" s="1">
        <v>1745</v>
      </c>
      <c r="B374" s="1" t="s">
        <v>4</v>
      </c>
      <c r="C374" s="1">
        <v>1</v>
      </c>
      <c r="D374" s="1">
        <v>430</v>
      </c>
      <c r="F374" s="1">
        <v>1746</v>
      </c>
      <c r="G374" s="1" t="s">
        <v>5</v>
      </c>
      <c r="H374" s="1">
        <v>0</v>
      </c>
      <c r="I374" s="1">
        <v>130</v>
      </c>
      <c r="J374" s="4"/>
    </row>
    <row r="375" spans="1:10" x14ac:dyDescent="0.25">
      <c r="A375" s="1">
        <v>1747</v>
      </c>
      <c r="B375" s="1" t="s">
        <v>4</v>
      </c>
      <c r="C375" s="1">
        <v>1</v>
      </c>
      <c r="D375" s="1">
        <v>400</v>
      </c>
      <c r="F375" s="1">
        <v>1748</v>
      </c>
      <c r="G375" s="1" t="s">
        <v>5</v>
      </c>
      <c r="H375" s="1">
        <v>1</v>
      </c>
      <c r="I375" s="1">
        <v>325</v>
      </c>
      <c r="J375" s="4"/>
    </row>
    <row r="376" spans="1:10" x14ac:dyDescent="0.25">
      <c r="A376" s="1">
        <v>1749</v>
      </c>
      <c r="B376" s="1" t="s">
        <v>4</v>
      </c>
      <c r="C376" s="1">
        <v>0</v>
      </c>
      <c r="D376" s="1">
        <v>180</v>
      </c>
      <c r="F376" s="1">
        <v>1750</v>
      </c>
      <c r="G376" s="1" t="s">
        <v>5</v>
      </c>
      <c r="H376" s="1">
        <v>1</v>
      </c>
      <c r="I376" s="1">
        <v>590</v>
      </c>
      <c r="J376" s="4"/>
    </row>
    <row r="377" spans="1:10" x14ac:dyDescent="0.25">
      <c r="A377" s="1">
        <v>1752</v>
      </c>
      <c r="B377" s="1" t="s">
        <v>4</v>
      </c>
      <c r="C377" s="1">
        <v>1</v>
      </c>
      <c r="D377" s="1">
        <v>550</v>
      </c>
      <c r="F377" s="1">
        <v>1751</v>
      </c>
      <c r="G377" s="1" t="s">
        <v>5</v>
      </c>
      <c r="H377" s="1">
        <v>1</v>
      </c>
      <c r="I377" s="1">
        <v>235</v>
      </c>
      <c r="J377" s="4"/>
    </row>
    <row r="378" spans="1:10" x14ac:dyDescent="0.25">
      <c r="A378" s="1">
        <v>1753</v>
      </c>
      <c r="B378" s="1" t="s">
        <v>4</v>
      </c>
      <c r="C378" s="1">
        <v>0</v>
      </c>
      <c r="D378" s="1">
        <v>140</v>
      </c>
      <c r="F378" s="1">
        <v>1754</v>
      </c>
      <c r="G378" s="1" t="s">
        <v>5</v>
      </c>
      <c r="H378" s="1">
        <v>1</v>
      </c>
      <c r="I378" s="1">
        <v>480</v>
      </c>
      <c r="J378" s="4"/>
    </row>
    <row r="379" spans="1:10" x14ac:dyDescent="0.25">
      <c r="A379" s="1">
        <v>1755</v>
      </c>
      <c r="B379" s="1" t="s">
        <v>4</v>
      </c>
      <c r="C379" s="1">
        <v>1</v>
      </c>
      <c r="D379" s="1">
        <v>460</v>
      </c>
      <c r="F379" s="1">
        <v>1756</v>
      </c>
      <c r="G379" s="1" t="s">
        <v>5</v>
      </c>
      <c r="H379" s="1">
        <v>0</v>
      </c>
      <c r="I379" s="1">
        <v>150</v>
      </c>
      <c r="J379" s="4"/>
    </row>
    <row r="380" spans="1:10" x14ac:dyDescent="0.25">
      <c r="A380" s="1">
        <v>1757</v>
      </c>
      <c r="B380" s="1" t="s">
        <v>4</v>
      </c>
      <c r="C380" s="1">
        <v>1</v>
      </c>
      <c r="D380" s="1">
        <v>410</v>
      </c>
      <c r="F380" s="1">
        <v>1758</v>
      </c>
      <c r="G380" s="1" t="s">
        <v>5</v>
      </c>
      <c r="H380" s="1">
        <v>1</v>
      </c>
      <c r="I380" s="1">
        <v>315</v>
      </c>
      <c r="J380" s="4"/>
    </row>
    <row r="381" spans="1:10" x14ac:dyDescent="0.25">
      <c r="A381" s="1">
        <v>1759</v>
      </c>
      <c r="B381" s="1" t="s">
        <v>4</v>
      </c>
      <c r="C381" s="1">
        <v>0</v>
      </c>
      <c r="D381" s="1">
        <v>185</v>
      </c>
      <c r="F381" s="1">
        <v>1760</v>
      </c>
      <c r="G381" s="1" t="s">
        <v>5</v>
      </c>
      <c r="H381" s="1">
        <v>1</v>
      </c>
      <c r="I381" s="1">
        <v>580</v>
      </c>
      <c r="J381" s="4"/>
    </row>
    <row r="382" spans="1:10" x14ac:dyDescent="0.25">
      <c r="A382" s="1">
        <v>1762</v>
      </c>
      <c r="B382" s="1" t="s">
        <v>4</v>
      </c>
      <c r="C382" s="1">
        <v>1</v>
      </c>
      <c r="D382" s="1">
        <v>530</v>
      </c>
      <c r="F382" s="1">
        <v>1761</v>
      </c>
      <c r="G382" s="1" t="s">
        <v>5</v>
      </c>
      <c r="H382" s="1">
        <v>1</v>
      </c>
      <c r="I382" s="1">
        <v>225</v>
      </c>
      <c r="J382" s="4"/>
    </row>
    <row r="383" spans="1:10" x14ac:dyDescent="0.25">
      <c r="A383" s="1">
        <v>1763</v>
      </c>
      <c r="B383" s="1" t="s">
        <v>4</v>
      </c>
      <c r="C383" s="1">
        <v>0</v>
      </c>
      <c r="D383" s="1">
        <v>135</v>
      </c>
      <c r="F383" s="1">
        <v>1764</v>
      </c>
      <c r="G383" s="1" t="s">
        <v>5</v>
      </c>
      <c r="H383" s="1">
        <v>1</v>
      </c>
      <c r="I383" s="1">
        <v>500</v>
      </c>
      <c r="J383" s="4"/>
    </row>
    <row r="384" spans="1:10" x14ac:dyDescent="0.25">
      <c r="A384" s="1">
        <v>1765</v>
      </c>
      <c r="B384" s="1" t="s">
        <v>4</v>
      </c>
      <c r="C384" s="1">
        <v>1</v>
      </c>
      <c r="D384" s="1">
        <v>440</v>
      </c>
      <c r="F384" s="1">
        <v>1766</v>
      </c>
      <c r="G384" s="1" t="s">
        <v>5</v>
      </c>
      <c r="H384" s="1">
        <v>0</v>
      </c>
      <c r="I384" s="1">
        <v>155</v>
      </c>
      <c r="J384" s="4"/>
    </row>
    <row r="385" spans="1:10" x14ac:dyDescent="0.25">
      <c r="A385" s="1">
        <v>1767</v>
      </c>
      <c r="B385" s="1" t="s">
        <v>4</v>
      </c>
      <c r="C385" s="1">
        <v>1</v>
      </c>
      <c r="D385" s="1">
        <v>380</v>
      </c>
      <c r="F385" s="1">
        <v>1768</v>
      </c>
      <c r="G385" s="1" t="s">
        <v>5</v>
      </c>
      <c r="H385" s="1">
        <v>1</v>
      </c>
      <c r="I385" s="1">
        <v>330</v>
      </c>
      <c r="J385" s="4"/>
    </row>
    <row r="386" spans="1:10" x14ac:dyDescent="0.25">
      <c r="A386" s="1">
        <v>1769</v>
      </c>
      <c r="B386" s="1" t="s">
        <v>4</v>
      </c>
      <c r="C386" s="1">
        <v>0</v>
      </c>
      <c r="D386" s="1">
        <v>180</v>
      </c>
      <c r="F386" s="1">
        <v>1770</v>
      </c>
      <c r="G386" s="1" t="s">
        <v>5</v>
      </c>
      <c r="H386" s="1">
        <v>1</v>
      </c>
      <c r="I386" s="1">
        <v>570</v>
      </c>
      <c r="J386" s="4"/>
    </row>
    <row r="387" spans="1:10" x14ac:dyDescent="0.25">
      <c r="A387" s="1">
        <v>1772</v>
      </c>
      <c r="B387" s="1" t="s">
        <v>4</v>
      </c>
      <c r="C387" s="1">
        <v>1</v>
      </c>
      <c r="D387" s="1">
        <v>520</v>
      </c>
      <c r="F387" s="1">
        <v>1771</v>
      </c>
      <c r="G387" s="1" t="s">
        <v>5</v>
      </c>
      <c r="H387" s="1">
        <v>1</v>
      </c>
      <c r="I387" s="1">
        <v>240</v>
      </c>
      <c r="J387" s="4"/>
    </row>
    <row r="388" spans="1:10" x14ac:dyDescent="0.25">
      <c r="A388" s="1">
        <v>1773</v>
      </c>
      <c r="B388" s="1" t="s">
        <v>4</v>
      </c>
      <c r="C388" s="1">
        <v>0</v>
      </c>
      <c r="D388" s="1">
        <v>145</v>
      </c>
      <c r="F388" s="1">
        <v>1774</v>
      </c>
      <c r="G388" s="1" t="s">
        <v>5</v>
      </c>
      <c r="H388" s="1">
        <v>1</v>
      </c>
      <c r="I388" s="1">
        <v>470</v>
      </c>
      <c r="J388" s="4"/>
    </row>
    <row r="389" spans="1:10" x14ac:dyDescent="0.25">
      <c r="A389" s="1">
        <v>1775</v>
      </c>
      <c r="B389" s="1" t="s">
        <v>4</v>
      </c>
      <c r="C389" s="1">
        <v>1</v>
      </c>
      <c r="D389" s="1">
        <v>450</v>
      </c>
      <c r="F389" s="1">
        <v>1776</v>
      </c>
      <c r="G389" s="1" t="s">
        <v>5</v>
      </c>
      <c r="H389" s="1">
        <v>0</v>
      </c>
      <c r="I389" s="1">
        <v>140</v>
      </c>
      <c r="J389" s="4"/>
    </row>
    <row r="390" spans="1:10" x14ac:dyDescent="0.25">
      <c r="A390" s="1">
        <v>1778</v>
      </c>
      <c r="B390" s="1" t="s">
        <v>4</v>
      </c>
      <c r="C390" s="1">
        <v>1</v>
      </c>
      <c r="D390" s="1">
        <v>320</v>
      </c>
      <c r="F390" s="1">
        <v>1777</v>
      </c>
      <c r="G390" s="1" t="s">
        <v>5</v>
      </c>
      <c r="H390" s="1">
        <v>1</v>
      </c>
      <c r="I390" s="1">
        <v>560</v>
      </c>
      <c r="J390" s="4"/>
    </row>
    <row r="391" spans="1:10" x14ac:dyDescent="0.25">
      <c r="A391" s="1">
        <v>1779</v>
      </c>
      <c r="B391" s="1" t="s">
        <v>4</v>
      </c>
      <c r="C391" s="1">
        <v>0</v>
      </c>
      <c r="D391" s="1">
        <v>190</v>
      </c>
      <c r="F391" s="1">
        <v>1780</v>
      </c>
      <c r="G391" s="1" t="s">
        <v>5</v>
      </c>
      <c r="H391" s="1">
        <v>1</v>
      </c>
      <c r="I391" s="1">
        <v>510</v>
      </c>
      <c r="J391" s="4"/>
    </row>
    <row r="392" spans="1:10" x14ac:dyDescent="0.25">
      <c r="A392" s="1">
        <v>1782</v>
      </c>
      <c r="B392" s="1" t="s">
        <v>4</v>
      </c>
      <c r="C392" s="1">
        <v>1</v>
      </c>
      <c r="D392" s="1">
        <v>540</v>
      </c>
      <c r="F392" s="1">
        <v>1781</v>
      </c>
      <c r="G392" s="1" t="s">
        <v>5</v>
      </c>
      <c r="H392" s="1">
        <v>1</v>
      </c>
      <c r="I392" s="1">
        <v>235</v>
      </c>
      <c r="J392" s="4"/>
    </row>
    <row r="393" spans="1:10" x14ac:dyDescent="0.25">
      <c r="A393" s="1">
        <v>1783</v>
      </c>
      <c r="B393" s="1" t="s">
        <v>4</v>
      </c>
      <c r="C393" s="1">
        <v>0</v>
      </c>
      <c r="D393" s="1">
        <v>135</v>
      </c>
      <c r="F393" s="1">
        <v>1784</v>
      </c>
      <c r="G393" s="1" t="s">
        <v>5</v>
      </c>
      <c r="H393" s="1">
        <v>1</v>
      </c>
      <c r="I393" s="1">
        <v>490</v>
      </c>
      <c r="J393" s="4"/>
    </row>
    <row r="394" spans="1:10" x14ac:dyDescent="0.25">
      <c r="A394" s="1">
        <v>1785</v>
      </c>
      <c r="B394" s="1" t="s">
        <v>4</v>
      </c>
      <c r="C394" s="1">
        <v>1</v>
      </c>
      <c r="D394" s="1">
        <v>430</v>
      </c>
      <c r="F394" s="1">
        <v>1786</v>
      </c>
      <c r="G394" s="1" t="s">
        <v>5</v>
      </c>
      <c r="H394" s="1">
        <v>0</v>
      </c>
      <c r="I394" s="1">
        <v>150</v>
      </c>
      <c r="J394" s="4"/>
    </row>
    <row r="395" spans="1:10" x14ac:dyDescent="0.25">
      <c r="A395" s="1">
        <v>1787</v>
      </c>
      <c r="B395" s="1" t="s">
        <v>4</v>
      </c>
      <c r="C395" s="1">
        <v>1</v>
      </c>
      <c r="D395" s="1">
        <v>400</v>
      </c>
      <c r="F395" s="1">
        <v>1788</v>
      </c>
      <c r="G395" s="1" t="s">
        <v>5</v>
      </c>
      <c r="H395" s="1">
        <v>1</v>
      </c>
      <c r="I395" s="1">
        <v>325</v>
      </c>
      <c r="J395" s="4"/>
    </row>
    <row r="396" spans="1:10" x14ac:dyDescent="0.25">
      <c r="A396" s="1">
        <v>1789</v>
      </c>
      <c r="B396" s="1" t="s">
        <v>4</v>
      </c>
      <c r="C396" s="1">
        <v>0</v>
      </c>
      <c r="D396" s="1">
        <v>185</v>
      </c>
      <c r="F396" s="1">
        <v>1790</v>
      </c>
      <c r="G396" s="1" t="s">
        <v>5</v>
      </c>
      <c r="H396" s="1">
        <v>1</v>
      </c>
      <c r="I396" s="1">
        <v>580</v>
      </c>
      <c r="J396" s="4"/>
    </row>
    <row r="397" spans="1:10" x14ac:dyDescent="0.25">
      <c r="A397" s="1">
        <v>1792</v>
      </c>
      <c r="B397" s="1" t="s">
        <v>4</v>
      </c>
      <c r="C397" s="1">
        <v>1</v>
      </c>
      <c r="D397" s="1">
        <v>550</v>
      </c>
      <c r="F397" s="1">
        <v>1791</v>
      </c>
      <c r="G397" s="1" t="s">
        <v>5</v>
      </c>
      <c r="H397" s="1">
        <v>1</v>
      </c>
      <c r="I397" s="1">
        <v>225</v>
      </c>
      <c r="J397" s="4"/>
    </row>
    <row r="398" spans="1:10" x14ac:dyDescent="0.25">
      <c r="A398" s="1">
        <v>1793</v>
      </c>
      <c r="B398" s="1" t="s">
        <v>4</v>
      </c>
      <c r="C398" s="1">
        <v>0</v>
      </c>
      <c r="D398" s="1">
        <v>140</v>
      </c>
      <c r="F398" s="1">
        <v>1794</v>
      </c>
      <c r="G398" s="1" t="s">
        <v>5</v>
      </c>
      <c r="H398" s="1">
        <v>1</v>
      </c>
      <c r="I398" s="1">
        <v>480</v>
      </c>
      <c r="J398" s="4"/>
    </row>
    <row r="399" spans="1:10" x14ac:dyDescent="0.25">
      <c r="A399" s="1">
        <v>1795</v>
      </c>
      <c r="B399" s="1" t="s">
        <v>4</v>
      </c>
      <c r="C399" s="1">
        <v>1</v>
      </c>
      <c r="D399" s="1">
        <v>460</v>
      </c>
      <c r="F399" s="1">
        <v>1796</v>
      </c>
      <c r="G399" s="1" t="s">
        <v>5</v>
      </c>
      <c r="H399" s="1">
        <v>0</v>
      </c>
      <c r="I399" s="1">
        <v>130</v>
      </c>
      <c r="J399" s="4"/>
    </row>
    <row r="400" spans="1:10" x14ac:dyDescent="0.25">
      <c r="A400" s="1">
        <v>1797</v>
      </c>
      <c r="B400" s="1" t="s">
        <v>4</v>
      </c>
      <c r="C400" s="1">
        <v>1</v>
      </c>
      <c r="D400" s="1">
        <v>420</v>
      </c>
      <c r="F400" s="1">
        <v>1798</v>
      </c>
      <c r="G400" s="1" t="s">
        <v>5</v>
      </c>
      <c r="H400" s="1">
        <v>1</v>
      </c>
      <c r="I400" s="1">
        <v>340</v>
      </c>
      <c r="J400" s="4"/>
    </row>
    <row r="401" spans="1:10" x14ac:dyDescent="0.25">
      <c r="A401" s="1">
        <v>1799</v>
      </c>
      <c r="B401" s="1" t="s">
        <v>4</v>
      </c>
      <c r="C401" s="1">
        <v>0</v>
      </c>
      <c r="D401" s="1">
        <v>175</v>
      </c>
      <c r="F401" s="1">
        <v>1800</v>
      </c>
      <c r="G401" s="1" t="s">
        <v>5</v>
      </c>
      <c r="H401" s="1">
        <v>1</v>
      </c>
      <c r="I401" s="1">
        <v>590</v>
      </c>
      <c r="J401" s="4"/>
    </row>
    <row r="402" spans="1:10" x14ac:dyDescent="0.25">
      <c r="A402" s="1">
        <v>1802</v>
      </c>
      <c r="B402" s="1" t="s">
        <v>4</v>
      </c>
      <c r="C402" s="1">
        <v>1</v>
      </c>
      <c r="D402" s="1">
        <v>530</v>
      </c>
      <c r="F402" s="1">
        <v>1801</v>
      </c>
      <c r="G402" s="1" t="s">
        <v>5</v>
      </c>
      <c r="H402" s="1">
        <v>1</v>
      </c>
      <c r="I402" s="1">
        <v>240</v>
      </c>
      <c r="J402" s="4"/>
    </row>
    <row r="403" spans="1:10" x14ac:dyDescent="0.25">
      <c r="A403" s="1">
        <v>1803</v>
      </c>
      <c r="B403" s="1" t="s">
        <v>4</v>
      </c>
      <c r="C403" s="1">
        <v>0</v>
      </c>
      <c r="D403" s="1">
        <v>150</v>
      </c>
      <c r="F403" s="1">
        <v>1804</v>
      </c>
      <c r="G403" s="1" t="s">
        <v>5</v>
      </c>
      <c r="H403" s="1">
        <v>1</v>
      </c>
      <c r="I403" s="1">
        <v>500</v>
      </c>
      <c r="J403" s="4"/>
    </row>
    <row r="404" spans="1:10" x14ac:dyDescent="0.25">
      <c r="A404" s="1">
        <v>1805</v>
      </c>
      <c r="B404" s="1" t="s">
        <v>4</v>
      </c>
      <c r="C404" s="1">
        <v>1</v>
      </c>
      <c r="D404" s="1">
        <v>440</v>
      </c>
      <c r="F404" s="1">
        <v>1806</v>
      </c>
      <c r="G404" s="1" t="s">
        <v>5</v>
      </c>
      <c r="H404" s="1">
        <v>0</v>
      </c>
      <c r="I404" s="1">
        <v>145</v>
      </c>
      <c r="J404" s="4"/>
    </row>
    <row r="405" spans="1:10" x14ac:dyDescent="0.25">
      <c r="A405" s="1">
        <v>1807</v>
      </c>
      <c r="B405" s="1" t="s">
        <v>4</v>
      </c>
      <c r="C405" s="1">
        <v>1</v>
      </c>
      <c r="D405" s="1">
        <v>390</v>
      </c>
      <c r="F405" s="1">
        <v>1808</v>
      </c>
      <c r="G405" s="1" t="s">
        <v>5</v>
      </c>
      <c r="H405" s="1">
        <v>1</v>
      </c>
      <c r="I405" s="1">
        <v>315</v>
      </c>
      <c r="J405" s="4"/>
    </row>
    <row r="406" spans="1:10" x14ac:dyDescent="0.25">
      <c r="A406" s="1">
        <v>1809</v>
      </c>
      <c r="B406" s="1" t="s">
        <v>4</v>
      </c>
      <c r="C406" s="1">
        <v>0</v>
      </c>
      <c r="D406" s="1">
        <v>180</v>
      </c>
      <c r="F406" s="1">
        <v>1810</v>
      </c>
      <c r="G406" s="1" t="s">
        <v>5</v>
      </c>
      <c r="H406" s="1">
        <v>1</v>
      </c>
      <c r="I406" s="1">
        <v>570</v>
      </c>
      <c r="J406" s="4"/>
    </row>
    <row r="407" spans="1:10" x14ac:dyDescent="0.25">
      <c r="A407" s="1">
        <v>1812</v>
      </c>
      <c r="B407" s="1" t="s">
        <v>4</v>
      </c>
      <c r="C407" s="1">
        <v>1</v>
      </c>
      <c r="D407" s="1">
        <v>520</v>
      </c>
      <c r="F407" s="1">
        <v>1811</v>
      </c>
      <c r="G407" s="1" t="s">
        <v>5</v>
      </c>
      <c r="H407" s="1">
        <v>1</v>
      </c>
      <c r="I407" s="1">
        <v>230</v>
      </c>
      <c r="J407" s="4"/>
    </row>
    <row r="408" spans="1:10" x14ac:dyDescent="0.25">
      <c r="A408" s="1">
        <v>1813</v>
      </c>
      <c r="B408" s="1" t="s">
        <v>4</v>
      </c>
      <c r="C408" s="1">
        <v>0</v>
      </c>
      <c r="D408" s="1">
        <v>135</v>
      </c>
      <c r="F408" s="1">
        <v>1814</v>
      </c>
      <c r="G408" s="1" t="s">
        <v>5</v>
      </c>
      <c r="H408" s="1">
        <v>1</v>
      </c>
      <c r="I408" s="1">
        <v>470</v>
      </c>
      <c r="J408" s="4"/>
    </row>
    <row r="409" spans="1:10" x14ac:dyDescent="0.25">
      <c r="A409" s="1">
        <v>1815</v>
      </c>
      <c r="B409" s="1" t="s">
        <v>4</v>
      </c>
      <c r="C409" s="1">
        <v>1</v>
      </c>
      <c r="D409" s="1">
        <v>450</v>
      </c>
      <c r="F409" s="1">
        <v>1816</v>
      </c>
      <c r="G409" s="1" t="s">
        <v>5</v>
      </c>
      <c r="H409" s="1">
        <v>0</v>
      </c>
      <c r="I409" s="1">
        <v>155</v>
      </c>
      <c r="J409" s="4"/>
    </row>
    <row r="410" spans="1:10" x14ac:dyDescent="0.25">
      <c r="A410" s="1">
        <v>1818</v>
      </c>
      <c r="B410" s="1" t="s">
        <v>4</v>
      </c>
      <c r="C410" s="1">
        <v>1</v>
      </c>
      <c r="D410" s="1">
        <v>310</v>
      </c>
      <c r="F410" s="1">
        <v>1817</v>
      </c>
      <c r="G410" s="1" t="s">
        <v>5</v>
      </c>
      <c r="H410" s="1">
        <v>1</v>
      </c>
      <c r="I410" s="1">
        <v>580</v>
      </c>
      <c r="J410" s="4"/>
    </row>
    <row r="411" spans="1:10" x14ac:dyDescent="0.25">
      <c r="A411" s="1">
        <v>1819</v>
      </c>
      <c r="B411" s="1" t="s">
        <v>4</v>
      </c>
      <c r="C411" s="1">
        <v>0</v>
      </c>
      <c r="D411" s="1">
        <v>190</v>
      </c>
      <c r="F411" s="1">
        <v>1820</v>
      </c>
      <c r="G411" s="1" t="s">
        <v>5</v>
      </c>
      <c r="H411" s="1">
        <v>1</v>
      </c>
      <c r="I411" s="1">
        <v>510</v>
      </c>
      <c r="J411" s="4"/>
    </row>
    <row r="412" spans="1:10" x14ac:dyDescent="0.25">
      <c r="A412" s="1">
        <v>1822</v>
      </c>
      <c r="B412" s="1" t="s">
        <v>4</v>
      </c>
      <c r="C412" s="1">
        <v>1</v>
      </c>
      <c r="D412" s="1">
        <v>540</v>
      </c>
      <c r="F412" s="1">
        <v>1821</v>
      </c>
      <c r="G412" s="1" t="s">
        <v>5</v>
      </c>
      <c r="H412" s="1">
        <v>1</v>
      </c>
      <c r="I412" s="1">
        <v>245</v>
      </c>
      <c r="J412" s="4"/>
    </row>
    <row r="413" spans="1:10" x14ac:dyDescent="0.25">
      <c r="A413" s="1">
        <v>1823</v>
      </c>
      <c r="B413" s="1" t="s">
        <v>4</v>
      </c>
      <c r="C413" s="1">
        <v>0</v>
      </c>
      <c r="D413" s="1">
        <v>140</v>
      </c>
      <c r="F413" s="1">
        <v>1824</v>
      </c>
      <c r="G413" s="1" t="s">
        <v>5</v>
      </c>
      <c r="H413" s="1">
        <v>1</v>
      </c>
      <c r="I413" s="1">
        <v>490</v>
      </c>
      <c r="J413" s="4"/>
    </row>
    <row r="414" spans="1:10" x14ac:dyDescent="0.25">
      <c r="A414" s="1">
        <v>1825</v>
      </c>
      <c r="B414" s="1" t="s">
        <v>4</v>
      </c>
      <c r="C414" s="1">
        <v>1</v>
      </c>
      <c r="D414" s="1">
        <v>430</v>
      </c>
      <c r="F414" s="1">
        <v>1826</v>
      </c>
      <c r="G414" s="1" t="s">
        <v>5</v>
      </c>
      <c r="H414" s="1">
        <v>0</v>
      </c>
      <c r="I414" s="1">
        <v>130</v>
      </c>
      <c r="J414" s="4"/>
    </row>
    <row r="415" spans="1:10" x14ac:dyDescent="0.25">
      <c r="A415" s="1">
        <v>1827</v>
      </c>
      <c r="B415" s="1" t="s">
        <v>4</v>
      </c>
      <c r="C415" s="1">
        <v>1</v>
      </c>
      <c r="D415" s="1">
        <v>400</v>
      </c>
      <c r="F415" s="1">
        <v>1828</v>
      </c>
      <c r="G415" s="1" t="s">
        <v>5</v>
      </c>
      <c r="H415" s="1">
        <v>1</v>
      </c>
      <c r="I415" s="1">
        <v>325</v>
      </c>
      <c r="J415" s="4"/>
    </row>
    <row r="416" spans="1:10" x14ac:dyDescent="0.25">
      <c r="A416" s="1">
        <v>1829</v>
      </c>
      <c r="B416" s="1" t="s">
        <v>4</v>
      </c>
      <c r="C416" s="1">
        <v>0</v>
      </c>
      <c r="D416" s="1">
        <v>185</v>
      </c>
      <c r="F416" s="1">
        <v>1830</v>
      </c>
      <c r="G416" s="1" t="s">
        <v>5</v>
      </c>
      <c r="H416" s="1">
        <v>1</v>
      </c>
      <c r="I416" s="1">
        <v>590</v>
      </c>
      <c r="J416" s="4"/>
    </row>
    <row r="417" spans="1:10" x14ac:dyDescent="0.25">
      <c r="A417" s="1">
        <v>1832</v>
      </c>
      <c r="B417" s="1" t="s">
        <v>4</v>
      </c>
      <c r="C417" s="1">
        <v>1</v>
      </c>
      <c r="D417" s="1">
        <v>550</v>
      </c>
      <c r="F417" s="1">
        <v>1831</v>
      </c>
      <c r="G417" s="1" t="s">
        <v>5</v>
      </c>
      <c r="H417" s="1">
        <v>1</v>
      </c>
      <c r="I417" s="1">
        <v>235</v>
      </c>
      <c r="J417" s="4"/>
    </row>
    <row r="418" spans="1:10" x14ac:dyDescent="0.25">
      <c r="A418" s="1">
        <v>1833</v>
      </c>
      <c r="B418" s="1" t="s">
        <v>4</v>
      </c>
      <c r="C418" s="1">
        <v>0</v>
      </c>
      <c r="D418" s="1">
        <v>145</v>
      </c>
      <c r="F418" s="1">
        <v>1834</v>
      </c>
      <c r="G418" s="1" t="s">
        <v>5</v>
      </c>
      <c r="H418" s="1">
        <v>1</v>
      </c>
      <c r="I418" s="1">
        <v>480</v>
      </c>
      <c r="J418" s="4"/>
    </row>
    <row r="419" spans="1:10" x14ac:dyDescent="0.25">
      <c r="A419" s="1">
        <v>1835</v>
      </c>
      <c r="B419" s="1" t="s">
        <v>4</v>
      </c>
      <c r="C419" s="1">
        <v>1</v>
      </c>
      <c r="D419" s="1">
        <v>460</v>
      </c>
      <c r="F419" s="1">
        <v>1836</v>
      </c>
      <c r="G419" s="1" t="s">
        <v>5</v>
      </c>
      <c r="H419" s="1">
        <v>0</v>
      </c>
      <c r="I419" s="1">
        <v>150</v>
      </c>
      <c r="J419" s="4"/>
    </row>
    <row r="420" spans="1:10" x14ac:dyDescent="0.25">
      <c r="A420" s="1">
        <v>1837</v>
      </c>
      <c r="B420" s="1" t="s">
        <v>4</v>
      </c>
      <c r="C420" s="1">
        <v>1</v>
      </c>
      <c r="D420" s="1">
        <v>410</v>
      </c>
      <c r="F420" s="1">
        <v>1838</v>
      </c>
      <c r="G420" s="1" t="s">
        <v>5</v>
      </c>
      <c r="H420" s="1">
        <v>1</v>
      </c>
      <c r="I420" s="1">
        <v>315</v>
      </c>
      <c r="J420" s="4"/>
    </row>
    <row r="421" spans="1:10" x14ac:dyDescent="0.25">
      <c r="A421" s="1">
        <v>1839</v>
      </c>
      <c r="B421" s="1" t="s">
        <v>4</v>
      </c>
      <c r="C421" s="1">
        <v>0</v>
      </c>
      <c r="D421" s="1">
        <v>180</v>
      </c>
      <c r="F421" s="1">
        <v>1840</v>
      </c>
      <c r="G421" s="1" t="s">
        <v>5</v>
      </c>
      <c r="H421" s="1">
        <v>1</v>
      </c>
      <c r="I421" s="1">
        <v>580</v>
      </c>
      <c r="J421" s="4"/>
    </row>
    <row r="422" spans="1:10" x14ac:dyDescent="0.25">
      <c r="A422" s="1">
        <v>1842</v>
      </c>
      <c r="B422" s="1" t="s">
        <v>4</v>
      </c>
      <c r="C422" s="1">
        <v>1</v>
      </c>
      <c r="D422" s="1">
        <v>530</v>
      </c>
      <c r="F422" s="1">
        <v>1841</v>
      </c>
      <c r="G422" s="1" t="s">
        <v>5</v>
      </c>
      <c r="H422" s="1">
        <v>1</v>
      </c>
      <c r="I422" s="1">
        <v>225</v>
      </c>
      <c r="J422" s="4"/>
    </row>
    <row r="423" spans="1:10" x14ac:dyDescent="0.25">
      <c r="A423" s="1">
        <v>1843</v>
      </c>
      <c r="B423" s="1" t="s">
        <v>4</v>
      </c>
      <c r="C423" s="1">
        <v>0</v>
      </c>
      <c r="D423" s="1">
        <v>135</v>
      </c>
      <c r="F423" s="1">
        <v>1844</v>
      </c>
      <c r="G423" s="1" t="s">
        <v>5</v>
      </c>
      <c r="H423" s="1">
        <v>1</v>
      </c>
      <c r="I423" s="1">
        <v>500</v>
      </c>
      <c r="J423" s="4"/>
    </row>
    <row r="424" spans="1:10" x14ac:dyDescent="0.25">
      <c r="A424" s="1">
        <v>1845</v>
      </c>
      <c r="B424" s="1" t="s">
        <v>4</v>
      </c>
      <c r="C424" s="1">
        <v>1</v>
      </c>
      <c r="D424" s="1">
        <v>440</v>
      </c>
      <c r="F424" s="1">
        <v>1846</v>
      </c>
      <c r="G424" s="1" t="s">
        <v>5</v>
      </c>
      <c r="H424" s="1">
        <v>0</v>
      </c>
      <c r="I424" s="1">
        <v>155</v>
      </c>
      <c r="J424" s="4"/>
    </row>
    <row r="425" spans="1:10" x14ac:dyDescent="0.25">
      <c r="A425" s="1">
        <v>1847</v>
      </c>
      <c r="B425" s="1" t="s">
        <v>4</v>
      </c>
      <c r="C425" s="1">
        <v>1</v>
      </c>
      <c r="D425" s="1">
        <v>380</v>
      </c>
      <c r="F425" s="1">
        <v>1848</v>
      </c>
      <c r="G425" s="1" t="s">
        <v>5</v>
      </c>
      <c r="H425" s="1">
        <v>1</v>
      </c>
      <c r="I425" s="1">
        <v>330</v>
      </c>
      <c r="J425" s="4"/>
    </row>
    <row r="426" spans="1:10" x14ac:dyDescent="0.25">
      <c r="A426" s="1">
        <v>1849</v>
      </c>
      <c r="B426" s="1" t="s">
        <v>4</v>
      </c>
      <c r="C426" s="1">
        <v>0</v>
      </c>
      <c r="D426" s="1">
        <v>175</v>
      </c>
      <c r="F426" s="1">
        <v>1850</v>
      </c>
      <c r="G426" s="1" t="s">
        <v>5</v>
      </c>
      <c r="H426" s="1">
        <v>1</v>
      </c>
      <c r="I426" s="1">
        <v>570</v>
      </c>
      <c r="J426" s="4"/>
    </row>
    <row r="427" spans="1:10" x14ac:dyDescent="0.25">
      <c r="A427" s="1">
        <v>1852</v>
      </c>
      <c r="B427" s="1" t="s">
        <v>4</v>
      </c>
      <c r="C427" s="1">
        <v>1</v>
      </c>
      <c r="D427" s="1">
        <v>520</v>
      </c>
      <c r="F427" s="1">
        <v>1851</v>
      </c>
      <c r="G427" s="1" t="s">
        <v>5</v>
      </c>
      <c r="H427" s="1">
        <v>1</v>
      </c>
      <c r="I427" s="1">
        <v>240</v>
      </c>
      <c r="J427" s="4"/>
    </row>
    <row r="428" spans="1:10" x14ac:dyDescent="0.25">
      <c r="A428" s="1">
        <v>1853</v>
      </c>
      <c r="B428" s="1" t="s">
        <v>4</v>
      </c>
      <c r="C428" s="1">
        <v>0</v>
      </c>
      <c r="D428" s="1">
        <v>145</v>
      </c>
      <c r="F428" s="1">
        <v>1854</v>
      </c>
      <c r="G428" s="1" t="s">
        <v>5</v>
      </c>
      <c r="H428" s="1">
        <v>1</v>
      </c>
      <c r="I428" s="1">
        <v>470</v>
      </c>
      <c r="J428" s="4"/>
    </row>
    <row r="429" spans="1:10" x14ac:dyDescent="0.25">
      <c r="A429" s="1">
        <v>1855</v>
      </c>
      <c r="B429" s="1" t="s">
        <v>4</v>
      </c>
      <c r="C429" s="1">
        <v>1</v>
      </c>
      <c r="D429" s="1">
        <v>450</v>
      </c>
      <c r="F429" s="1">
        <v>1856</v>
      </c>
      <c r="G429" s="1" t="s">
        <v>5</v>
      </c>
      <c r="H429" s="1">
        <v>0</v>
      </c>
      <c r="I429" s="1">
        <v>140</v>
      </c>
      <c r="J429" s="4"/>
    </row>
    <row r="430" spans="1:10" x14ac:dyDescent="0.25">
      <c r="A430" s="1">
        <v>1858</v>
      </c>
      <c r="B430" s="1" t="s">
        <v>4</v>
      </c>
      <c r="C430" s="1">
        <v>1</v>
      </c>
      <c r="D430" s="1">
        <v>320</v>
      </c>
      <c r="F430" s="1">
        <v>1857</v>
      </c>
      <c r="G430" s="1" t="s">
        <v>5</v>
      </c>
      <c r="H430" s="1">
        <v>1</v>
      </c>
      <c r="I430" s="1">
        <v>560</v>
      </c>
      <c r="J430" s="4"/>
    </row>
    <row r="431" spans="1:10" x14ac:dyDescent="0.25">
      <c r="A431" s="1">
        <v>1859</v>
      </c>
      <c r="B431" s="1" t="s">
        <v>4</v>
      </c>
      <c r="C431" s="1">
        <v>0</v>
      </c>
      <c r="D431" s="1">
        <v>190</v>
      </c>
      <c r="F431" s="1">
        <v>1860</v>
      </c>
      <c r="G431" s="1" t="s">
        <v>5</v>
      </c>
      <c r="H431" s="1">
        <v>1</v>
      </c>
      <c r="I431" s="1">
        <v>510</v>
      </c>
      <c r="J431" s="4"/>
    </row>
    <row r="432" spans="1:10" x14ac:dyDescent="0.25">
      <c r="A432" s="1">
        <v>1862</v>
      </c>
      <c r="B432" s="1" t="s">
        <v>4</v>
      </c>
      <c r="C432" s="1">
        <v>1</v>
      </c>
      <c r="D432" s="1">
        <v>540</v>
      </c>
      <c r="F432" s="1">
        <v>1861</v>
      </c>
      <c r="G432" s="1" t="s">
        <v>5</v>
      </c>
      <c r="H432" s="1">
        <v>1</v>
      </c>
      <c r="I432" s="1">
        <v>235</v>
      </c>
      <c r="J432" s="4"/>
    </row>
    <row r="433" spans="1:10" x14ac:dyDescent="0.25">
      <c r="A433" s="1">
        <v>1863</v>
      </c>
      <c r="B433" s="1" t="s">
        <v>4</v>
      </c>
      <c r="C433" s="1">
        <v>0</v>
      </c>
      <c r="D433" s="1">
        <v>135</v>
      </c>
      <c r="F433" s="1">
        <v>1864</v>
      </c>
      <c r="G433" s="1" t="s">
        <v>5</v>
      </c>
      <c r="H433" s="1">
        <v>1</v>
      </c>
      <c r="I433" s="1">
        <v>490</v>
      </c>
      <c r="J433" s="4"/>
    </row>
    <row r="434" spans="1:10" x14ac:dyDescent="0.25">
      <c r="A434" s="1">
        <v>1865</v>
      </c>
      <c r="B434" s="1" t="s">
        <v>4</v>
      </c>
      <c r="C434" s="1">
        <v>1</v>
      </c>
      <c r="D434" s="1">
        <v>430</v>
      </c>
      <c r="F434" s="1">
        <v>1866</v>
      </c>
      <c r="G434" s="1" t="s">
        <v>5</v>
      </c>
      <c r="H434" s="1">
        <v>0</v>
      </c>
      <c r="I434" s="1">
        <v>150</v>
      </c>
      <c r="J434" s="4"/>
    </row>
    <row r="435" spans="1:10" x14ac:dyDescent="0.25">
      <c r="A435" s="1">
        <v>1867</v>
      </c>
      <c r="B435" s="1" t="s">
        <v>4</v>
      </c>
      <c r="C435" s="1">
        <v>1</v>
      </c>
      <c r="D435" s="1">
        <v>400</v>
      </c>
      <c r="F435" s="1">
        <v>1868</v>
      </c>
      <c r="G435" s="1" t="s">
        <v>5</v>
      </c>
      <c r="H435" s="1">
        <v>1</v>
      </c>
      <c r="I435" s="1">
        <v>325</v>
      </c>
      <c r="J435" s="4"/>
    </row>
    <row r="436" spans="1:10" x14ac:dyDescent="0.25">
      <c r="A436" s="1">
        <v>1869</v>
      </c>
      <c r="B436" s="1" t="s">
        <v>4</v>
      </c>
      <c r="C436" s="1">
        <v>0</v>
      </c>
      <c r="D436" s="1">
        <v>185</v>
      </c>
      <c r="F436" s="1">
        <v>1870</v>
      </c>
      <c r="G436" s="1" t="s">
        <v>5</v>
      </c>
      <c r="H436" s="1">
        <v>1</v>
      </c>
      <c r="I436" s="1">
        <v>580</v>
      </c>
      <c r="J436" s="4"/>
    </row>
    <row r="437" spans="1:10" x14ac:dyDescent="0.25">
      <c r="A437" s="1">
        <v>1872</v>
      </c>
      <c r="B437" s="1" t="s">
        <v>4</v>
      </c>
      <c r="C437" s="1">
        <v>1</v>
      </c>
      <c r="D437" s="1">
        <v>550</v>
      </c>
      <c r="F437" s="1">
        <v>1871</v>
      </c>
      <c r="G437" s="1" t="s">
        <v>5</v>
      </c>
      <c r="H437" s="1">
        <v>1</v>
      </c>
      <c r="I437" s="1">
        <v>225</v>
      </c>
      <c r="J437" s="4"/>
    </row>
    <row r="438" spans="1:10" x14ac:dyDescent="0.25">
      <c r="A438" s="1">
        <v>1873</v>
      </c>
      <c r="B438" s="1" t="s">
        <v>4</v>
      </c>
      <c r="C438" s="1">
        <v>0</v>
      </c>
      <c r="D438" s="1">
        <v>140</v>
      </c>
      <c r="F438" s="1">
        <v>1874</v>
      </c>
      <c r="G438" s="1" t="s">
        <v>5</v>
      </c>
      <c r="H438" s="1">
        <v>1</v>
      </c>
      <c r="I438" s="1">
        <v>480</v>
      </c>
      <c r="J438" s="4"/>
    </row>
    <row r="439" spans="1:10" x14ac:dyDescent="0.25">
      <c r="A439" s="1">
        <v>1875</v>
      </c>
      <c r="B439" s="1" t="s">
        <v>4</v>
      </c>
      <c r="C439" s="1">
        <v>1</v>
      </c>
      <c r="D439" s="1">
        <v>460</v>
      </c>
      <c r="F439" s="1">
        <v>1876</v>
      </c>
      <c r="G439" s="1" t="s">
        <v>5</v>
      </c>
      <c r="H439" s="1">
        <v>0</v>
      </c>
      <c r="I439" s="1">
        <v>130</v>
      </c>
      <c r="J439" s="4"/>
    </row>
    <row r="440" spans="1:10" x14ac:dyDescent="0.25">
      <c r="A440" s="1">
        <v>1877</v>
      </c>
      <c r="B440" s="1" t="s">
        <v>4</v>
      </c>
      <c r="C440" s="1">
        <v>1</v>
      </c>
      <c r="D440" s="1">
        <v>420</v>
      </c>
      <c r="F440" s="1">
        <v>1878</v>
      </c>
      <c r="G440" s="1" t="s">
        <v>5</v>
      </c>
      <c r="H440" s="1">
        <v>1</v>
      </c>
      <c r="I440" s="1">
        <v>340</v>
      </c>
      <c r="J440" s="4"/>
    </row>
    <row r="441" spans="1:10" x14ac:dyDescent="0.25">
      <c r="A441" s="1">
        <v>1879</v>
      </c>
      <c r="B441" s="1" t="s">
        <v>4</v>
      </c>
      <c r="C441" s="1">
        <v>0</v>
      </c>
      <c r="D441" s="1">
        <v>175</v>
      </c>
      <c r="F441" s="1">
        <v>1880</v>
      </c>
      <c r="G441" s="1" t="s">
        <v>5</v>
      </c>
      <c r="H441" s="1">
        <v>1</v>
      </c>
      <c r="I441" s="1">
        <v>590</v>
      </c>
      <c r="J441" s="4"/>
    </row>
    <row r="442" spans="1:10" x14ac:dyDescent="0.25">
      <c r="A442" s="1">
        <v>1882</v>
      </c>
      <c r="B442" s="1" t="s">
        <v>4</v>
      </c>
      <c r="C442" s="1">
        <v>1</v>
      </c>
      <c r="D442" s="1">
        <v>530</v>
      </c>
      <c r="F442" s="1">
        <v>1881</v>
      </c>
      <c r="G442" s="1" t="s">
        <v>5</v>
      </c>
      <c r="H442" s="1">
        <v>1</v>
      </c>
      <c r="I442" s="1">
        <v>240</v>
      </c>
      <c r="J442" s="4"/>
    </row>
    <row r="443" spans="1:10" x14ac:dyDescent="0.25">
      <c r="A443" s="1">
        <v>1883</v>
      </c>
      <c r="B443" s="1" t="s">
        <v>4</v>
      </c>
      <c r="C443" s="1">
        <v>0</v>
      </c>
      <c r="D443" s="1">
        <v>150</v>
      </c>
      <c r="F443" s="1">
        <v>1884</v>
      </c>
      <c r="G443" s="1" t="s">
        <v>5</v>
      </c>
      <c r="H443" s="1">
        <v>1</v>
      </c>
      <c r="I443" s="1">
        <v>500</v>
      </c>
      <c r="J443" s="4"/>
    </row>
    <row r="444" spans="1:10" x14ac:dyDescent="0.25">
      <c r="A444" s="1">
        <v>1885</v>
      </c>
      <c r="B444" s="1" t="s">
        <v>4</v>
      </c>
      <c r="C444" s="1">
        <v>1</v>
      </c>
      <c r="D444" s="1">
        <v>440</v>
      </c>
      <c r="F444" s="1">
        <v>1886</v>
      </c>
      <c r="G444" s="1" t="s">
        <v>5</v>
      </c>
      <c r="H444" s="1">
        <v>0</v>
      </c>
      <c r="I444" s="1">
        <v>145</v>
      </c>
      <c r="J444" s="4"/>
    </row>
    <row r="445" spans="1:10" x14ac:dyDescent="0.25">
      <c r="A445" s="1">
        <v>1887</v>
      </c>
      <c r="B445" s="1" t="s">
        <v>4</v>
      </c>
      <c r="C445" s="1">
        <v>1</v>
      </c>
      <c r="D445" s="1">
        <v>390</v>
      </c>
      <c r="F445" s="1">
        <v>1888</v>
      </c>
      <c r="G445" s="1" t="s">
        <v>5</v>
      </c>
      <c r="H445" s="1">
        <v>1</v>
      </c>
      <c r="I445" s="1">
        <v>315</v>
      </c>
      <c r="J445" s="4"/>
    </row>
    <row r="446" spans="1:10" x14ac:dyDescent="0.25">
      <c r="A446" s="1">
        <v>1889</v>
      </c>
      <c r="B446" s="1" t="s">
        <v>4</v>
      </c>
      <c r="C446" s="1">
        <v>0</v>
      </c>
      <c r="D446" s="1">
        <v>180</v>
      </c>
      <c r="F446" s="1">
        <v>1890</v>
      </c>
      <c r="G446" s="1" t="s">
        <v>5</v>
      </c>
      <c r="H446" s="1">
        <v>1</v>
      </c>
      <c r="I446" s="1">
        <v>570</v>
      </c>
      <c r="J446" s="4"/>
    </row>
    <row r="447" spans="1:10" x14ac:dyDescent="0.25">
      <c r="A447" s="1">
        <v>1892</v>
      </c>
      <c r="B447" s="1" t="s">
        <v>4</v>
      </c>
      <c r="C447" s="1">
        <v>1</v>
      </c>
      <c r="D447" s="1">
        <v>520</v>
      </c>
      <c r="F447" s="1">
        <v>1891</v>
      </c>
      <c r="G447" s="1" t="s">
        <v>5</v>
      </c>
      <c r="H447" s="1">
        <v>1</v>
      </c>
      <c r="I447" s="1">
        <v>230</v>
      </c>
      <c r="J447" s="4"/>
    </row>
    <row r="448" spans="1:10" x14ac:dyDescent="0.25">
      <c r="A448" s="1">
        <v>1893</v>
      </c>
      <c r="B448" s="1" t="s">
        <v>4</v>
      </c>
      <c r="C448" s="1">
        <v>0</v>
      </c>
      <c r="D448" s="1">
        <v>135</v>
      </c>
      <c r="F448" s="1">
        <v>1894</v>
      </c>
      <c r="G448" s="1" t="s">
        <v>5</v>
      </c>
      <c r="H448" s="1">
        <v>1</v>
      </c>
      <c r="I448" s="1">
        <v>470</v>
      </c>
      <c r="J448" s="4"/>
    </row>
    <row r="449" spans="1:10" x14ac:dyDescent="0.25">
      <c r="A449" s="1">
        <v>1895</v>
      </c>
      <c r="B449" s="1" t="s">
        <v>4</v>
      </c>
      <c r="C449" s="1">
        <v>1</v>
      </c>
      <c r="D449" s="1">
        <v>450</v>
      </c>
      <c r="F449" s="1">
        <v>1896</v>
      </c>
      <c r="G449" s="1" t="s">
        <v>5</v>
      </c>
      <c r="H449" s="1">
        <v>0</v>
      </c>
      <c r="I449" s="1">
        <v>155</v>
      </c>
      <c r="J449" s="4"/>
    </row>
    <row r="450" spans="1:10" x14ac:dyDescent="0.25">
      <c r="A450" s="1">
        <v>1898</v>
      </c>
      <c r="B450" s="1" t="s">
        <v>4</v>
      </c>
      <c r="C450" s="1">
        <v>1</v>
      </c>
      <c r="D450" s="1">
        <v>310</v>
      </c>
      <c r="F450" s="1">
        <v>1897</v>
      </c>
      <c r="G450" s="1" t="s">
        <v>5</v>
      </c>
      <c r="H450" s="1">
        <v>1</v>
      </c>
      <c r="I450" s="1">
        <v>580</v>
      </c>
      <c r="J450" s="4"/>
    </row>
    <row r="451" spans="1:10" x14ac:dyDescent="0.25">
      <c r="A451" s="1">
        <v>1899</v>
      </c>
      <c r="B451" s="1" t="s">
        <v>4</v>
      </c>
      <c r="C451" s="1">
        <v>0</v>
      </c>
      <c r="D451" s="1">
        <v>190</v>
      </c>
      <c r="F451" s="1">
        <v>1900</v>
      </c>
      <c r="G451" s="1" t="s">
        <v>5</v>
      </c>
      <c r="H451" s="1">
        <v>1</v>
      </c>
      <c r="I451" s="1">
        <v>510</v>
      </c>
      <c r="J451" s="4"/>
    </row>
    <row r="452" spans="1:10" x14ac:dyDescent="0.25">
      <c r="A452" s="1">
        <v>1902</v>
      </c>
      <c r="B452" s="1" t="s">
        <v>4</v>
      </c>
      <c r="C452" s="1">
        <v>1</v>
      </c>
      <c r="D452" s="1">
        <v>540</v>
      </c>
      <c r="F452" s="1">
        <v>1901</v>
      </c>
      <c r="G452" s="1" t="s">
        <v>5</v>
      </c>
      <c r="H452" s="1">
        <v>1</v>
      </c>
      <c r="I452" s="1">
        <v>245</v>
      </c>
      <c r="J452" s="4"/>
    </row>
    <row r="453" spans="1:10" x14ac:dyDescent="0.25">
      <c r="A453" s="1">
        <v>1903</v>
      </c>
      <c r="B453" s="1" t="s">
        <v>4</v>
      </c>
      <c r="C453" s="1">
        <v>0</v>
      </c>
      <c r="D453" s="1">
        <v>140</v>
      </c>
      <c r="F453" s="1">
        <v>1904</v>
      </c>
      <c r="G453" s="1" t="s">
        <v>5</v>
      </c>
      <c r="H453" s="1">
        <v>1</v>
      </c>
      <c r="I453" s="1">
        <v>490</v>
      </c>
      <c r="J453" s="4"/>
    </row>
    <row r="454" spans="1:10" x14ac:dyDescent="0.25">
      <c r="A454" s="1">
        <v>1905</v>
      </c>
      <c r="B454" s="1" t="s">
        <v>4</v>
      </c>
      <c r="C454" s="1">
        <v>1</v>
      </c>
      <c r="D454" s="1">
        <v>430</v>
      </c>
      <c r="F454" s="1">
        <v>1906</v>
      </c>
      <c r="G454" s="1" t="s">
        <v>5</v>
      </c>
      <c r="H454" s="1">
        <v>0</v>
      </c>
      <c r="I454" s="1">
        <v>130</v>
      </c>
      <c r="J454" s="4"/>
    </row>
    <row r="455" spans="1:10" x14ac:dyDescent="0.25">
      <c r="A455" s="1">
        <v>1907</v>
      </c>
      <c r="B455" s="1" t="s">
        <v>4</v>
      </c>
      <c r="C455" s="1">
        <v>1</v>
      </c>
      <c r="D455" s="1">
        <v>400</v>
      </c>
      <c r="F455" s="1">
        <v>1908</v>
      </c>
      <c r="G455" s="1" t="s">
        <v>5</v>
      </c>
      <c r="H455" s="1">
        <v>1</v>
      </c>
      <c r="I455" s="1">
        <v>325</v>
      </c>
      <c r="J455" s="4"/>
    </row>
    <row r="456" spans="1:10" x14ac:dyDescent="0.25">
      <c r="A456" s="1">
        <v>1909</v>
      </c>
      <c r="B456" s="1" t="s">
        <v>4</v>
      </c>
      <c r="C456" s="1">
        <v>0</v>
      </c>
      <c r="D456" s="1">
        <v>185</v>
      </c>
      <c r="F456" s="1">
        <v>1910</v>
      </c>
      <c r="G456" s="1" t="s">
        <v>5</v>
      </c>
      <c r="H456" s="1">
        <v>1</v>
      </c>
      <c r="I456" s="1">
        <v>590</v>
      </c>
      <c r="J456" s="4"/>
    </row>
    <row r="457" spans="1:10" x14ac:dyDescent="0.25">
      <c r="A457" s="1">
        <v>1912</v>
      </c>
      <c r="B457" s="1" t="s">
        <v>4</v>
      </c>
      <c r="C457" s="1">
        <v>1</v>
      </c>
      <c r="D457" s="1">
        <v>550</v>
      </c>
      <c r="F457" s="1">
        <v>1911</v>
      </c>
      <c r="G457" s="1" t="s">
        <v>5</v>
      </c>
      <c r="H457" s="1">
        <v>1</v>
      </c>
      <c r="I457" s="1">
        <v>235</v>
      </c>
      <c r="J457" s="4"/>
    </row>
    <row r="458" spans="1:10" x14ac:dyDescent="0.25">
      <c r="A458" s="1">
        <v>1913</v>
      </c>
      <c r="B458" s="1" t="s">
        <v>4</v>
      </c>
      <c r="C458" s="1">
        <v>0</v>
      </c>
      <c r="D458" s="1">
        <v>145</v>
      </c>
      <c r="F458" s="1">
        <v>1914</v>
      </c>
      <c r="G458" s="1" t="s">
        <v>5</v>
      </c>
      <c r="H458" s="1">
        <v>1</v>
      </c>
      <c r="I458" s="1">
        <v>480</v>
      </c>
      <c r="J458" s="4"/>
    </row>
    <row r="459" spans="1:10" x14ac:dyDescent="0.25">
      <c r="A459" s="1">
        <v>1915</v>
      </c>
      <c r="B459" s="1" t="s">
        <v>4</v>
      </c>
      <c r="C459" s="1">
        <v>1</v>
      </c>
      <c r="D459" s="1">
        <v>460</v>
      </c>
      <c r="F459" s="1">
        <v>1916</v>
      </c>
      <c r="G459" s="1" t="s">
        <v>5</v>
      </c>
      <c r="H459" s="1">
        <v>0</v>
      </c>
      <c r="I459" s="1">
        <v>150</v>
      </c>
      <c r="J459" s="4"/>
    </row>
    <row r="460" spans="1:10" x14ac:dyDescent="0.25">
      <c r="A460" s="1">
        <v>1917</v>
      </c>
      <c r="B460" s="1" t="s">
        <v>4</v>
      </c>
      <c r="C460" s="1">
        <v>1</v>
      </c>
      <c r="D460" s="1">
        <v>410</v>
      </c>
      <c r="F460" s="1">
        <v>1918</v>
      </c>
      <c r="G460" s="1" t="s">
        <v>5</v>
      </c>
      <c r="H460" s="1">
        <v>1</v>
      </c>
      <c r="I460" s="1">
        <v>315</v>
      </c>
      <c r="J460" s="4"/>
    </row>
    <row r="461" spans="1:10" x14ac:dyDescent="0.25">
      <c r="A461" s="1">
        <v>1919</v>
      </c>
      <c r="B461" s="1" t="s">
        <v>4</v>
      </c>
      <c r="C461" s="1">
        <v>0</v>
      </c>
      <c r="D461" s="1">
        <v>180</v>
      </c>
      <c r="F461" s="1">
        <v>1920</v>
      </c>
      <c r="G461" s="1" t="s">
        <v>5</v>
      </c>
      <c r="H461" s="1">
        <v>1</v>
      </c>
      <c r="I461" s="1">
        <v>580</v>
      </c>
      <c r="J461" s="4"/>
    </row>
    <row r="462" spans="1:10" x14ac:dyDescent="0.25">
      <c r="A462" s="1">
        <v>1922</v>
      </c>
      <c r="B462" s="1" t="s">
        <v>4</v>
      </c>
      <c r="C462" s="1">
        <v>1</v>
      </c>
      <c r="D462" s="1">
        <v>530</v>
      </c>
      <c r="F462" s="1">
        <v>1921</v>
      </c>
      <c r="G462" s="1" t="s">
        <v>5</v>
      </c>
      <c r="H462" s="1">
        <v>1</v>
      </c>
      <c r="I462" s="1">
        <v>225</v>
      </c>
      <c r="J462" s="4"/>
    </row>
    <row r="463" spans="1:10" x14ac:dyDescent="0.25">
      <c r="A463" s="1">
        <v>1923</v>
      </c>
      <c r="B463" s="1" t="s">
        <v>4</v>
      </c>
      <c r="C463" s="1">
        <v>0</v>
      </c>
      <c r="D463" s="1">
        <v>135</v>
      </c>
      <c r="F463" s="1">
        <v>1924</v>
      </c>
      <c r="G463" s="1" t="s">
        <v>5</v>
      </c>
      <c r="H463" s="1">
        <v>1</v>
      </c>
      <c r="I463" s="1">
        <v>500</v>
      </c>
      <c r="J463" s="4"/>
    </row>
    <row r="464" spans="1:10" x14ac:dyDescent="0.25">
      <c r="A464" s="1">
        <v>1925</v>
      </c>
      <c r="B464" s="1" t="s">
        <v>4</v>
      </c>
      <c r="C464" s="1">
        <v>1</v>
      </c>
      <c r="D464" s="1">
        <v>440</v>
      </c>
      <c r="F464" s="1">
        <v>1926</v>
      </c>
      <c r="G464" s="1" t="s">
        <v>5</v>
      </c>
      <c r="H464" s="1">
        <v>0</v>
      </c>
      <c r="I464" s="1">
        <v>155</v>
      </c>
      <c r="J464" s="4"/>
    </row>
    <row r="465" spans="1:10" x14ac:dyDescent="0.25">
      <c r="A465" s="1">
        <v>1927</v>
      </c>
      <c r="B465" s="1" t="s">
        <v>4</v>
      </c>
      <c r="C465" s="1">
        <v>1</v>
      </c>
      <c r="D465" s="1">
        <v>380</v>
      </c>
      <c r="F465" s="1">
        <v>1928</v>
      </c>
      <c r="G465" s="1" t="s">
        <v>5</v>
      </c>
      <c r="H465" s="1">
        <v>1</v>
      </c>
      <c r="I465" s="1">
        <v>330</v>
      </c>
      <c r="J465" s="4"/>
    </row>
    <row r="466" spans="1:10" x14ac:dyDescent="0.25">
      <c r="A466" s="1">
        <v>1929</v>
      </c>
      <c r="B466" s="1" t="s">
        <v>4</v>
      </c>
      <c r="C466" s="1">
        <v>0</v>
      </c>
      <c r="D466" s="1">
        <v>175</v>
      </c>
      <c r="F466" s="1">
        <v>1930</v>
      </c>
      <c r="G466" s="1" t="s">
        <v>5</v>
      </c>
      <c r="H466" s="1">
        <v>1</v>
      </c>
      <c r="I466" s="1">
        <v>570</v>
      </c>
      <c r="J466" s="4"/>
    </row>
    <row r="467" spans="1:10" x14ac:dyDescent="0.25">
      <c r="A467" s="1">
        <v>1932</v>
      </c>
      <c r="B467" s="1" t="s">
        <v>4</v>
      </c>
      <c r="C467" s="1">
        <v>1</v>
      </c>
      <c r="D467" s="1">
        <v>520</v>
      </c>
      <c r="F467" s="1">
        <v>1931</v>
      </c>
      <c r="G467" s="1" t="s">
        <v>5</v>
      </c>
      <c r="H467" s="1">
        <v>1</v>
      </c>
      <c r="I467" s="1">
        <v>240</v>
      </c>
      <c r="J467" s="4"/>
    </row>
    <row r="468" spans="1:10" x14ac:dyDescent="0.25">
      <c r="A468" s="1">
        <v>1933</v>
      </c>
      <c r="B468" s="1" t="s">
        <v>4</v>
      </c>
      <c r="C468" s="1">
        <v>0</v>
      </c>
      <c r="D468" s="1">
        <v>145</v>
      </c>
      <c r="F468" s="1">
        <v>1934</v>
      </c>
      <c r="G468" s="1" t="s">
        <v>5</v>
      </c>
      <c r="H468" s="1">
        <v>1</v>
      </c>
      <c r="I468" s="1">
        <v>470</v>
      </c>
      <c r="J468" s="4"/>
    </row>
    <row r="469" spans="1:10" x14ac:dyDescent="0.25">
      <c r="A469" s="1">
        <v>1935</v>
      </c>
      <c r="B469" s="1" t="s">
        <v>4</v>
      </c>
      <c r="C469" s="1">
        <v>1</v>
      </c>
      <c r="D469" s="1">
        <v>450</v>
      </c>
      <c r="F469" s="1">
        <v>1936</v>
      </c>
      <c r="G469" s="1" t="s">
        <v>5</v>
      </c>
      <c r="H469" s="1">
        <v>0</v>
      </c>
      <c r="I469" s="1">
        <v>140</v>
      </c>
      <c r="J469" s="4"/>
    </row>
    <row r="470" spans="1:10" x14ac:dyDescent="0.25">
      <c r="A470" s="1">
        <v>1938</v>
      </c>
      <c r="B470" s="1" t="s">
        <v>4</v>
      </c>
      <c r="C470" s="1">
        <v>1</v>
      </c>
      <c r="D470" s="1">
        <v>320</v>
      </c>
      <c r="F470" s="1">
        <v>1937</v>
      </c>
      <c r="G470" s="1" t="s">
        <v>5</v>
      </c>
      <c r="H470" s="1">
        <v>1</v>
      </c>
      <c r="I470" s="1">
        <v>560</v>
      </c>
      <c r="J470" s="4"/>
    </row>
    <row r="471" spans="1:10" x14ac:dyDescent="0.25">
      <c r="A471" s="1">
        <v>1939</v>
      </c>
      <c r="B471" s="1" t="s">
        <v>4</v>
      </c>
      <c r="C471" s="1">
        <v>0</v>
      </c>
      <c r="D471" s="1">
        <v>190</v>
      </c>
      <c r="F471" s="1">
        <v>1940</v>
      </c>
      <c r="G471" s="1" t="s">
        <v>5</v>
      </c>
      <c r="H471" s="1">
        <v>1</v>
      </c>
      <c r="I471" s="1">
        <v>510</v>
      </c>
      <c r="J471" s="4"/>
    </row>
    <row r="472" spans="1:10" x14ac:dyDescent="0.25">
      <c r="A472" s="1">
        <v>1942</v>
      </c>
      <c r="B472" s="1" t="s">
        <v>4</v>
      </c>
      <c r="C472" s="1">
        <v>1</v>
      </c>
      <c r="D472" s="1">
        <v>540</v>
      </c>
      <c r="F472" s="1">
        <v>1941</v>
      </c>
      <c r="G472" s="1" t="s">
        <v>5</v>
      </c>
      <c r="H472" s="1">
        <v>1</v>
      </c>
      <c r="I472" s="1">
        <v>235</v>
      </c>
      <c r="J472" s="4"/>
    </row>
    <row r="473" spans="1:10" x14ac:dyDescent="0.25">
      <c r="A473" s="1">
        <v>1943</v>
      </c>
      <c r="B473" s="1" t="s">
        <v>4</v>
      </c>
      <c r="C473" s="1">
        <v>0</v>
      </c>
      <c r="D473" s="1">
        <v>135</v>
      </c>
      <c r="F473" s="1">
        <v>1944</v>
      </c>
      <c r="G473" s="1" t="s">
        <v>5</v>
      </c>
      <c r="H473" s="1">
        <v>1</v>
      </c>
      <c r="I473" s="1">
        <v>490</v>
      </c>
      <c r="J473" s="4"/>
    </row>
    <row r="474" spans="1:10" x14ac:dyDescent="0.25">
      <c r="A474" s="1">
        <v>1945</v>
      </c>
      <c r="B474" s="1" t="s">
        <v>4</v>
      </c>
      <c r="C474" s="1">
        <v>1</v>
      </c>
      <c r="D474" s="1">
        <v>430</v>
      </c>
      <c r="F474" s="1">
        <v>1946</v>
      </c>
      <c r="G474" s="1" t="s">
        <v>5</v>
      </c>
      <c r="H474" s="1">
        <v>0</v>
      </c>
      <c r="I474" s="1">
        <v>150</v>
      </c>
      <c r="J474" s="4"/>
    </row>
    <row r="475" spans="1:10" x14ac:dyDescent="0.25">
      <c r="A475" s="1">
        <v>1947</v>
      </c>
      <c r="B475" s="1" t="s">
        <v>4</v>
      </c>
      <c r="C475" s="1">
        <v>1</v>
      </c>
      <c r="D475" s="1">
        <v>400</v>
      </c>
      <c r="F475" s="1">
        <v>1948</v>
      </c>
      <c r="G475" s="1" t="s">
        <v>5</v>
      </c>
      <c r="H475" s="1">
        <v>1</v>
      </c>
      <c r="I475" s="1">
        <v>325</v>
      </c>
      <c r="J475" s="4"/>
    </row>
    <row r="476" spans="1:10" x14ac:dyDescent="0.25">
      <c r="A476" s="1">
        <v>1949</v>
      </c>
      <c r="B476" s="1" t="s">
        <v>4</v>
      </c>
      <c r="C476" s="1">
        <v>0</v>
      </c>
      <c r="D476" s="1">
        <v>185</v>
      </c>
      <c r="F476" s="1">
        <v>1950</v>
      </c>
      <c r="G476" s="1" t="s">
        <v>5</v>
      </c>
      <c r="H476" s="1">
        <v>1</v>
      </c>
      <c r="I476" s="1">
        <v>580</v>
      </c>
      <c r="J476" s="4"/>
    </row>
    <row r="477" spans="1:10" x14ac:dyDescent="0.25">
      <c r="A477" s="1">
        <v>1952</v>
      </c>
      <c r="B477" s="1" t="s">
        <v>4</v>
      </c>
      <c r="C477" s="1">
        <v>1</v>
      </c>
      <c r="D477" s="1">
        <v>550</v>
      </c>
      <c r="F477" s="1">
        <v>1951</v>
      </c>
      <c r="G477" s="1" t="s">
        <v>5</v>
      </c>
      <c r="H477" s="1">
        <v>0</v>
      </c>
      <c r="I477" s="1">
        <v>225</v>
      </c>
      <c r="J477" s="4"/>
    </row>
    <row r="478" spans="1:10" x14ac:dyDescent="0.25">
      <c r="A478" s="1">
        <v>1953</v>
      </c>
      <c r="B478" s="1" t="s">
        <v>4</v>
      </c>
      <c r="C478" s="1">
        <v>0</v>
      </c>
      <c r="D478" s="1">
        <v>140</v>
      </c>
      <c r="F478" s="1">
        <v>1954</v>
      </c>
      <c r="G478" s="1" t="s">
        <v>5</v>
      </c>
      <c r="H478" s="1">
        <v>1</v>
      </c>
      <c r="I478" s="1">
        <v>480</v>
      </c>
      <c r="J478" s="4"/>
    </row>
    <row r="479" spans="1:10" x14ac:dyDescent="0.25">
      <c r="A479" s="1">
        <v>1955</v>
      </c>
      <c r="B479" s="1" t="s">
        <v>4</v>
      </c>
      <c r="C479" s="1">
        <v>1</v>
      </c>
      <c r="D479" s="1">
        <v>460</v>
      </c>
      <c r="F479" s="1">
        <v>1956</v>
      </c>
      <c r="G479" s="1" t="s">
        <v>5</v>
      </c>
      <c r="H479" s="1">
        <v>0</v>
      </c>
      <c r="I479" s="1">
        <v>130</v>
      </c>
      <c r="J479" s="4"/>
    </row>
    <row r="480" spans="1:10" x14ac:dyDescent="0.25">
      <c r="A480" s="1">
        <v>1957</v>
      </c>
      <c r="B480" s="1" t="s">
        <v>4</v>
      </c>
      <c r="C480" s="1">
        <v>1</v>
      </c>
      <c r="D480" s="1">
        <v>420</v>
      </c>
      <c r="F480" s="1">
        <v>1958</v>
      </c>
      <c r="G480" s="1" t="s">
        <v>5</v>
      </c>
      <c r="H480" s="1">
        <v>1</v>
      </c>
      <c r="I480" s="1">
        <v>340</v>
      </c>
      <c r="J480" s="4"/>
    </row>
    <row r="481" spans="1:10" x14ac:dyDescent="0.25">
      <c r="A481" s="1">
        <v>1959</v>
      </c>
      <c r="B481" s="1" t="s">
        <v>4</v>
      </c>
      <c r="C481" s="1">
        <v>0</v>
      </c>
      <c r="D481" s="1">
        <v>175</v>
      </c>
      <c r="F481" s="1">
        <v>1960</v>
      </c>
      <c r="G481" s="1" t="s">
        <v>5</v>
      </c>
      <c r="H481" s="1">
        <v>0</v>
      </c>
      <c r="I481" s="1">
        <v>590</v>
      </c>
      <c r="J481" s="4"/>
    </row>
    <row r="482" spans="1:10" x14ac:dyDescent="0.25">
      <c r="A482" s="1">
        <v>1962</v>
      </c>
      <c r="B482" s="1" t="s">
        <v>4</v>
      </c>
      <c r="C482" s="1">
        <v>1</v>
      </c>
      <c r="D482" s="1">
        <v>530</v>
      </c>
      <c r="F482" s="1">
        <v>1961</v>
      </c>
      <c r="G482" s="1" t="s">
        <v>5</v>
      </c>
      <c r="H482" s="1">
        <v>1</v>
      </c>
      <c r="I482" s="1">
        <v>240</v>
      </c>
      <c r="J482" s="4"/>
    </row>
    <row r="483" spans="1:10" x14ac:dyDescent="0.25">
      <c r="A483" s="1">
        <v>1963</v>
      </c>
      <c r="B483" s="1" t="s">
        <v>4</v>
      </c>
      <c r="C483" s="1">
        <v>0</v>
      </c>
      <c r="D483" s="1">
        <v>150</v>
      </c>
      <c r="F483" s="1">
        <v>1964</v>
      </c>
      <c r="G483" s="1" t="s">
        <v>5</v>
      </c>
      <c r="H483" s="1">
        <v>1</v>
      </c>
      <c r="I483" s="1">
        <v>500</v>
      </c>
      <c r="J483" s="4"/>
    </row>
    <row r="484" spans="1:10" x14ac:dyDescent="0.25">
      <c r="A484" s="1">
        <v>1965</v>
      </c>
      <c r="B484" s="1" t="s">
        <v>4</v>
      </c>
      <c r="C484" s="1">
        <v>1</v>
      </c>
      <c r="D484" s="1">
        <v>440</v>
      </c>
      <c r="F484" s="1">
        <v>1966</v>
      </c>
      <c r="G484" s="1" t="s">
        <v>5</v>
      </c>
      <c r="H484" s="1">
        <v>0</v>
      </c>
      <c r="I484" s="1">
        <v>145</v>
      </c>
      <c r="J484" s="4"/>
    </row>
    <row r="485" spans="1:10" x14ac:dyDescent="0.25">
      <c r="A485" s="1">
        <v>1967</v>
      </c>
      <c r="B485" s="1" t="s">
        <v>4</v>
      </c>
      <c r="C485" s="1">
        <v>1</v>
      </c>
      <c r="D485" s="1">
        <v>390</v>
      </c>
      <c r="F485" s="1">
        <v>1968</v>
      </c>
      <c r="G485" s="1" t="s">
        <v>5</v>
      </c>
      <c r="H485" s="1">
        <v>1</v>
      </c>
      <c r="I485" s="1">
        <v>315</v>
      </c>
      <c r="J485" s="4"/>
    </row>
    <row r="486" spans="1:10" x14ac:dyDescent="0.25">
      <c r="A486" s="1">
        <v>1969</v>
      </c>
      <c r="B486" s="1" t="s">
        <v>4</v>
      </c>
      <c r="C486" s="1">
        <v>0</v>
      </c>
      <c r="D486" s="1">
        <v>180</v>
      </c>
      <c r="F486" s="1">
        <v>1970</v>
      </c>
      <c r="G486" s="1" t="s">
        <v>5</v>
      </c>
      <c r="H486" s="1">
        <v>1</v>
      </c>
      <c r="I486" s="1">
        <v>570</v>
      </c>
      <c r="J486" s="4"/>
    </row>
    <row r="487" spans="1:10" x14ac:dyDescent="0.25">
      <c r="A487" s="1">
        <v>1972</v>
      </c>
      <c r="B487" s="1" t="s">
        <v>4</v>
      </c>
      <c r="C487" s="1">
        <v>1</v>
      </c>
      <c r="D487" s="1">
        <v>520</v>
      </c>
      <c r="F487" s="1">
        <v>1971</v>
      </c>
      <c r="G487" s="1" t="s">
        <v>5</v>
      </c>
      <c r="H487" s="1">
        <v>0</v>
      </c>
      <c r="I487" s="1">
        <v>230</v>
      </c>
      <c r="J487" s="4"/>
    </row>
    <row r="488" spans="1:10" x14ac:dyDescent="0.25">
      <c r="A488" s="1">
        <v>1973</v>
      </c>
      <c r="B488" s="1" t="s">
        <v>4</v>
      </c>
      <c r="C488" s="1">
        <v>0</v>
      </c>
      <c r="D488" s="1">
        <v>135</v>
      </c>
      <c r="F488" s="1">
        <v>1974</v>
      </c>
      <c r="G488" s="1" t="s">
        <v>5</v>
      </c>
      <c r="H488" s="1">
        <v>1</v>
      </c>
      <c r="I488" s="1">
        <v>470</v>
      </c>
      <c r="J488" s="4"/>
    </row>
    <row r="489" spans="1:10" x14ac:dyDescent="0.25">
      <c r="A489" s="1">
        <v>1975</v>
      </c>
      <c r="B489" s="1" t="s">
        <v>4</v>
      </c>
      <c r="C489" s="1">
        <v>1</v>
      </c>
      <c r="D489" s="1">
        <v>450</v>
      </c>
      <c r="F489" s="1">
        <v>1976</v>
      </c>
      <c r="G489" s="1" t="s">
        <v>5</v>
      </c>
      <c r="H489" s="1">
        <v>0</v>
      </c>
      <c r="I489" s="1">
        <v>155</v>
      </c>
      <c r="J489" s="4"/>
    </row>
    <row r="490" spans="1:10" x14ac:dyDescent="0.25">
      <c r="A490" s="1">
        <v>1978</v>
      </c>
      <c r="B490" s="1" t="s">
        <v>4</v>
      </c>
      <c r="C490" s="1">
        <v>1</v>
      </c>
      <c r="D490" s="1">
        <v>310</v>
      </c>
      <c r="F490" s="1">
        <v>1977</v>
      </c>
      <c r="G490" s="1" t="s">
        <v>5</v>
      </c>
      <c r="H490" s="1">
        <v>0</v>
      </c>
      <c r="I490" s="1">
        <v>580</v>
      </c>
      <c r="J490" s="4"/>
    </row>
    <row r="491" spans="1:10" x14ac:dyDescent="0.25">
      <c r="A491" s="1">
        <v>1979</v>
      </c>
      <c r="B491" s="1" t="s">
        <v>4</v>
      </c>
      <c r="C491" s="1">
        <v>0</v>
      </c>
      <c r="D491" s="1">
        <v>190</v>
      </c>
      <c r="F491" s="1">
        <v>1980</v>
      </c>
      <c r="G491" s="1" t="s">
        <v>5</v>
      </c>
      <c r="H491" s="1">
        <v>1</v>
      </c>
      <c r="I491" s="1">
        <v>510</v>
      </c>
      <c r="J491" s="4"/>
    </row>
    <row r="492" spans="1:10" x14ac:dyDescent="0.25">
      <c r="A492" s="1">
        <v>1982</v>
      </c>
      <c r="B492" s="1" t="s">
        <v>4</v>
      </c>
      <c r="C492" s="1">
        <v>1</v>
      </c>
      <c r="D492" s="1">
        <v>540</v>
      </c>
      <c r="F492" s="1">
        <v>1981</v>
      </c>
      <c r="G492" s="1" t="s">
        <v>5</v>
      </c>
      <c r="H492" s="1">
        <v>1</v>
      </c>
      <c r="I492" s="1">
        <v>245</v>
      </c>
      <c r="J492" s="4"/>
    </row>
    <row r="493" spans="1:10" x14ac:dyDescent="0.25">
      <c r="A493" s="1">
        <v>1983</v>
      </c>
      <c r="B493" s="1" t="s">
        <v>4</v>
      </c>
      <c r="C493" s="1">
        <v>0</v>
      </c>
      <c r="D493" s="1">
        <v>140</v>
      </c>
      <c r="F493" s="1">
        <v>1984</v>
      </c>
      <c r="G493" s="1" t="s">
        <v>5</v>
      </c>
      <c r="H493" s="1">
        <v>1</v>
      </c>
      <c r="I493" s="1">
        <v>490</v>
      </c>
      <c r="J493" s="4"/>
    </row>
    <row r="494" spans="1:10" x14ac:dyDescent="0.25">
      <c r="A494" s="1">
        <v>1985</v>
      </c>
      <c r="B494" s="1" t="s">
        <v>4</v>
      </c>
      <c r="C494" s="1">
        <v>1</v>
      </c>
      <c r="D494" s="1">
        <v>430</v>
      </c>
      <c r="F494" s="1">
        <v>1986</v>
      </c>
      <c r="G494" s="1" t="s">
        <v>5</v>
      </c>
      <c r="H494" s="1">
        <v>0</v>
      </c>
      <c r="I494" s="1">
        <v>130</v>
      </c>
      <c r="J494" s="4"/>
    </row>
    <row r="495" spans="1:10" x14ac:dyDescent="0.25">
      <c r="A495" s="1">
        <v>1987</v>
      </c>
      <c r="B495" s="1" t="s">
        <v>4</v>
      </c>
      <c r="C495" s="1">
        <v>1</v>
      </c>
      <c r="D495" s="1">
        <v>400</v>
      </c>
      <c r="F495" s="1">
        <v>1988</v>
      </c>
      <c r="G495" s="1" t="s">
        <v>5</v>
      </c>
      <c r="H495" s="1">
        <v>1</v>
      </c>
      <c r="I495" s="1">
        <v>325</v>
      </c>
      <c r="J495" s="4"/>
    </row>
    <row r="496" spans="1:10" x14ac:dyDescent="0.25">
      <c r="A496" s="1">
        <v>1989</v>
      </c>
      <c r="B496" s="1" t="s">
        <v>4</v>
      </c>
      <c r="C496" s="1">
        <v>0</v>
      </c>
      <c r="D496" s="1">
        <v>185</v>
      </c>
      <c r="F496" s="1">
        <v>1990</v>
      </c>
      <c r="G496" s="1" t="s">
        <v>5</v>
      </c>
      <c r="H496" s="1">
        <v>1</v>
      </c>
      <c r="I496" s="1">
        <v>590</v>
      </c>
      <c r="J496" s="4"/>
    </row>
    <row r="497" spans="1:10" x14ac:dyDescent="0.25">
      <c r="A497" s="1">
        <v>1992</v>
      </c>
      <c r="B497" s="1" t="s">
        <v>4</v>
      </c>
      <c r="C497" s="1">
        <v>1</v>
      </c>
      <c r="D497" s="1">
        <v>550</v>
      </c>
      <c r="F497" s="1">
        <v>1991</v>
      </c>
      <c r="G497" s="1" t="s">
        <v>5</v>
      </c>
      <c r="H497" s="1">
        <v>1</v>
      </c>
      <c r="I497" s="1">
        <v>235</v>
      </c>
      <c r="J497" s="4"/>
    </row>
    <row r="498" spans="1:10" x14ac:dyDescent="0.25">
      <c r="A498" s="1">
        <v>1993</v>
      </c>
      <c r="B498" s="1" t="s">
        <v>4</v>
      </c>
      <c r="C498" s="1">
        <v>0</v>
      </c>
      <c r="D498" s="1">
        <v>145</v>
      </c>
      <c r="F498" s="1">
        <v>1994</v>
      </c>
      <c r="G498" s="1" t="s">
        <v>5</v>
      </c>
      <c r="H498" s="1">
        <v>1</v>
      </c>
      <c r="I498" s="1">
        <v>480</v>
      </c>
      <c r="J498" s="4"/>
    </row>
    <row r="499" spans="1:10" x14ac:dyDescent="0.25">
      <c r="A499" s="1">
        <v>1995</v>
      </c>
      <c r="B499" s="1" t="s">
        <v>4</v>
      </c>
      <c r="C499" s="1">
        <v>1</v>
      </c>
      <c r="D499" s="1">
        <v>460</v>
      </c>
      <c r="F499" s="1">
        <v>1996</v>
      </c>
      <c r="G499" s="1" t="s">
        <v>5</v>
      </c>
      <c r="H499" s="1">
        <v>0</v>
      </c>
      <c r="I499" s="1">
        <v>150</v>
      </c>
      <c r="J499" s="4"/>
    </row>
    <row r="500" spans="1:10" x14ac:dyDescent="0.25">
      <c r="A500" s="1">
        <v>1997</v>
      </c>
      <c r="B500" s="1" t="s">
        <v>4</v>
      </c>
      <c r="C500" s="1">
        <v>1</v>
      </c>
      <c r="D500" s="1">
        <v>410</v>
      </c>
      <c r="F500" s="1">
        <v>1998</v>
      </c>
      <c r="G500" s="1" t="s">
        <v>5</v>
      </c>
      <c r="H500" s="1">
        <v>1</v>
      </c>
      <c r="I500" s="1">
        <v>315</v>
      </c>
      <c r="J500" s="4"/>
    </row>
    <row r="501" spans="1:10" x14ac:dyDescent="0.25">
      <c r="A501" s="1">
        <v>1999</v>
      </c>
      <c r="B501" s="1" t="s">
        <v>4</v>
      </c>
      <c r="C501" s="1">
        <v>0</v>
      </c>
      <c r="D501" s="1">
        <v>180</v>
      </c>
      <c r="F501" s="1">
        <v>2000</v>
      </c>
      <c r="G501" s="1" t="s">
        <v>5</v>
      </c>
      <c r="H501" s="1">
        <v>1</v>
      </c>
      <c r="I501" s="1">
        <v>580</v>
      </c>
      <c r="J501" s="4"/>
    </row>
  </sheetData>
  <sortState xmlns:xlrd2="http://schemas.microsoft.com/office/spreadsheetml/2017/richdata2" ref="AA3:AD158">
    <sortCondition descending="1" ref="AC3:AC158"/>
  </sortState>
  <mergeCells count="13">
    <mergeCell ref="M22:N24"/>
    <mergeCell ref="O2:R2"/>
    <mergeCell ref="O3:Q3"/>
    <mergeCell ref="O4:Q4"/>
    <mergeCell ref="O5:Q5"/>
    <mergeCell ref="O7:P9"/>
    <mergeCell ref="O6:R6"/>
    <mergeCell ref="K14:N16"/>
    <mergeCell ref="K21:N21"/>
    <mergeCell ref="L6:M6"/>
    <mergeCell ref="L7:M7"/>
    <mergeCell ref="K17:N17"/>
    <mergeCell ref="M18:N20"/>
  </mergeCells>
  <conditionalFormatting sqref="A1:D501 AA2:AD158 V2:Y206">
    <cfRule type="cellIs" dxfId="1" priority="7" operator="equal">
      <formula>0</formula>
    </cfRule>
  </conditionalFormatting>
  <conditionalFormatting sqref="F1:I501">
    <cfRule type="cellIs" dxfId="0" priority="6" operator="equal">
      <formula>0</formula>
    </cfRule>
  </conditionalFormatting>
  <pageMargins left="0.7" right="0.7" top="0.75" bottom="0.75" header="0.3" footer="0.3"/>
  <ignoredErrors>
    <ignoredError sqref="Q9:R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Размер выборки</vt:lpstr>
      <vt:lpstr>Расчет</vt:lpstr>
      <vt:lpstr>Расчет!Критерии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Плеханова</dc:creator>
  <cp:lastModifiedBy>Анастасия Плеханова</cp:lastModifiedBy>
  <dcterms:created xsi:type="dcterms:W3CDTF">2025-12-28T18:39:27Z</dcterms:created>
  <dcterms:modified xsi:type="dcterms:W3CDTF">2026-08-25T09:45:51Z</dcterms:modified>
</cp:coreProperties>
</file>